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bc70f1631539531/Desktop/EPICODE/"/>
    </mc:Choice>
  </mc:AlternateContent>
  <xr:revisionPtr revIDLastSave="0" documentId="8_{B59BE1AC-B6DD-47C5-B1C6-2C75E87D306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cheggio" sheetId="1" r:id="rId1"/>
    <sheet name="Frutta" sheetId="2" r:id="rId2"/>
  </sheets>
  <definedNames>
    <definedName name="_xlnm._FilterDatabase" localSheetId="1" hidden="1">Frutta!$A$1:$G$47</definedName>
    <definedName name="_xlnm._FilterDatabase" localSheetId="0" hidden="1">Parcheggio!$A$1:$E$101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F3" i="2"/>
  <c r="F4" i="2"/>
  <c r="F5" i="2"/>
  <c r="F6" i="2"/>
  <c r="F2" i="2"/>
  <c r="E3" i="2"/>
  <c r="E4" i="2"/>
  <c r="E5" i="2"/>
  <c r="E6" i="2"/>
  <c r="E2" i="2"/>
  <c r="E13" i="1"/>
  <c r="E14" i="1"/>
  <c r="E23" i="1"/>
  <c r="E26" i="1"/>
  <c r="E35" i="1"/>
  <c r="E36" i="1"/>
  <c r="E37" i="1"/>
  <c r="E38" i="1"/>
  <c r="E49" i="1"/>
  <c r="E50" i="1"/>
  <c r="E59" i="1"/>
  <c r="E71" i="1"/>
  <c r="E72" i="1"/>
  <c r="E73" i="1"/>
  <c r="E74" i="1"/>
  <c r="E84" i="1"/>
  <c r="E85" i="1"/>
  <c r="E86" i="1"/>
  <c r="E9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E20" i="1" s="1"/>
  <c r="C21" i="1"/>
  <c r="E21" i="1" s="1"/>
  <c r="C22" i="1"/>
  <c r="E22" i="1" s="1"/>
  <c r="C23" i="1"/>
  <c r="C24" i="1"/>
  <c r="C25" i="1"/>
  <c r="C26" i="1"/>
  <c r="C27" i="1"/>
  <c r="C28" i="1"/>
  <c r="C29" i="1"/>
  <c r="C30" i="1"/>
  <c r="C31" i="1"/>
  <c r="C32" i="1"/>
  <c r="C33" i="1"/>
  <c r="E33" i="1" s="1"/>
  <c r="C34" i="1"/>
  <c r="E34" i="1" s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E56" i="1" s="1"/>
  <c r="C57" i="1"/>
  <c r="E57" i="1" s="1"/>
  <c r="C58" i="1"/>
  <c r="E58" i="1" s="1"/>
  <c r="C59" i="1"/>
  <c r="C60" i="1"/>
  <c r="C61" i="1"/>
  <c r="C62" i="1"/>
  <c r="C63" i="1"/>
  <c r="C64" i="1"/>
  <c r="C65" i="1"/>
  <c r="C66" i="1"/>
  <c r="C67" i="1"/>
  <c r="C68" i="1"/>
  <c r="C69" i="1"/>
  <c r="E69" i="1" s="1"/>
  <c r="C70" i="1"/>
  <c r="E70" i="1" s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E91" i="1" s="1"/>
  <c r="C92" i="1"/>
  <c r="E92" i="1" s="1"/>
  <c r="C93" i="1"/>
  <c r="E93" i="1" s="1"/>
  <c r="C94" i="1"/>
  <c r="E94" i="1" s="1"/>
  <c r="C95" i="1"/>
  <c r="C96" i="1"/>
  <c r="C97" i="1"/>
  <c r="C98" i="1"/>
  <c r="C99" i="1"/>
  <c r="C100" i="1"/>
  <c r="C101" i="1"/>
  <c r="C2" i="1"/>
  <c r="L2" i="1"/>
  <c r="D3" i="1" a="1"/>
  <c r="D3" i="1" s="1"/>
  <c r="E3" i="1" s="1"/>
  <c r="D4" i="1" a="1"/>
  <c r="D4" i="1"/>
  <c r="E4" i="1" s="1"/>
  <c r="D5" i="1" a="1"/>
  <c r="D5" i="1" s="1"/>
  <c r="E5" i="1" s="1"/>
  <c r="D6" i="1" a="1"/>
  <c r="D6" i="1"/>
  <c r="E6" i="1" s="1"/>
  <c r="D7" i="1" a="1"/>
  <c r="D7" i="1" s="1"/>
  <c r="E7" i="1" s="1"/>
  <c r="D8" i="1" a="1"/>
  <c r="D8" i="1"/>
  <c r="E8" i="1" s="1"/>
  <c r="D9" i="1" a="1"/>
  <c r="D9" i="1" s="1"/>
  <c r="E9" i="1" s="1"/>
  <c r="D10" i="1" a="1"/>
  <c r="D10" i="1"/>
  <c r="E10" i="1" s="1"/>
  <c r="D11" i="1" a="1"/>
  <c r="D11" i="1"/>
  <c r="E11" i="1" s="1"/>
  <c r="D12" i="1" a="1"/>
  <c r="D12" i="1" s="1"/>
  <c r="E12" i="1" s="1"/>
  <c r="D13" i="1" a="1"/>
  <c r="D13" i="1" s="1"/>
  <c r="D14" i="1" a="1"/>
  <c r="D14" i="1"/>
  <c r="D15" i="1" a="1"/>
  <c r="D15" i="1" s="1"/>
  <c r="E15" i="1" s="1"/>
  <c r="D16" i="1" a="1"/>
  <c r="D16" i="1"/>
  <c r="E16" i="1" s="1"/>
  <c r="D17" i="1" a="1"/>
  <c r="D17" i="1"/>
  <c r="E17" i="1" s="1"/>
  <c r="D18" i="1" a="1"/>
  <c r="D18" i="1"/>
  <c r="E18" i="1" s="1"/>
  <c r="D19" i="1" a="1"/>
  <c r="D19" i="1" s="1"/>
  <c r="E19" i="1" s="1"/>
  <c r="D20" i="1" a="1"/>
  <c r="D20" i="1" s="1"/>
  <c r="D21" i="1" a="1"/>
  <c r="D21" i="1" s="1"/>
  <c r="D22" i="1" a="1"/>
  <c r="D22" i="1"/>
  <c r="D23" i="1" a="1"/>
  <c r="D23" i="1"/>
  <c r="D24" i="1" a="1"/>
  <c r="D24" i="1"/>
  <c r="E24" i="1" s="1"/>
  <c r="D25" i="1" a="1"/>
  <c r="D25" i="1"/>
  <c r="E25" i="1" s="1"/>
  <c r="D26" i="1" a="1"/>
  <c r="D26" i="1" s="1"/>
  <c r="D27" i="1" a="1"/>
  <c r="D27" i="1" s="1"/>
  <c r="E27" i="1" s="1"/>
  <c r="D28" i="1" a="1"/>
  <c r="D28" i="1"/>
  <c r="E28" i="1" s="1"/>
  <c r="D29" i="1" a="1"/>
  <c r="D29" i="1"/>
  <c r="E29" i="1" s="1"/>
  <c r="D30" i="1" a="1"/>
  <c r="D30" i="1"/>
  <c r="E30" i="1" s="1"/>
  <c r="D31" i="1" a="1"/>
  <c r="D31" i="1"/>
  <c r="E31" i="1" s="1"/>
  <c r="D32" i="1" a="1"/>
  <c r="D32" i="1"/>
  <c r="E32" i="1" s="1"/>
  <c r="D33" i="1" a="1"/>
  <c r="D33" i="1" s="1"/>
  <c r="D34" i="1" a="1"/>
  <c r="D34" i="1" s="1"/>
  <c r="D35" i="1" a="1"/>
  <c r="D35" i="1"/>
  <c r="D36" i="1" a="1"/>
  <c r="D36" i="1"/>
  <c r="D37" i="1" a="1"/>
  <c r="D37" i="1"/>
  <c r="D38" i="1" a="1"/>
  <c r="D38" i="1"/>
  <c r="D39" i="1" a="1"/>
  <c r="D39" i="1" s="1"/>
  <c r="E39" i="1" s="1"/>
  <c r="D40" i="1" a="1"/>
  <c r="D40" i="1" s="1"/>
  <c r="E40" i="1" s="1"/>
  <c r="D41" i="1" a="1"/>
  <c r="D41" i="1" s="1"/>
  <c r="E41" i="1" s="1"/>
  <c r="D42" i="1" a="1"/>
  <c r="D42" i="1"/>
  <c r="E42" i="1" s="1"/>
  <c r="D43" i="1" a="1"/>
  <c r="D43" i="1"/>
  <c r="E43" i="1" s="1"/>
  <c r="D44" i="1" a="1"/>
  <c r="D44" i="1"/>
  <c r="E44" i="1" s="1"/>
  <c r="D45" i="1" a="1"/>
  <c r="D45" i="1" s="1"/>
  <c r="E45" i="1" s="1"/>
  <c r="D46" i="1" a="1"/>
  <c r="D46" i="1" s="1"/>
  <c r="E46" i="1" s="1"/>
  <c r="D47" i="1" a="1"/>
  <c r="D47" i="1"/>
  <c r="E47" i="1" s="1"/>
  <c r="D48" i="1" a="1"/>
  <c r="D48" i="1" s="1"/>
  <c r="E48" i="1" s="1"/>
  <c r="D49" i="1" a="1"/>
  <c r="D49" i="1"/>
  <c r="D50" i="1" a="1"/>
  <c r="D50" i="1"/>
  <c r="D51" i="1" a="1"/>
  <c r="D51" i="1" s="1"/>
  <c r="E51" i="1" s="1"/>
  <c r="D52" i="1" a="1"/>
  <c r="D52" i="1"/>
  <c r="E52" i="1" s="1"/>
  <c r="D53" i="1" a="1"/>
  <c r="D53" i="1" s="1"/>
  <c r="E53" i="1" s="1"/>
  <c r="D54" i="1" a="1"/>
  <c r="D54" i="1"/>
  <c r="E54" i="1" s="1"/>
  <c r="D55" i="1" a="1"/>
  <c r="D55" i="1" s="1"/>
  <c r="E55" i="1" s="1"/>
  <c r="D56" i="1" a="1"/>
  <c r="D56" i="1"/>
  <c r="D57" i="1" a="1"/>
  <c r="D57" i="1" s="1"/>
  <c r="D58" i="1" a="1"/>
  <c r="D58" i="1"/>
  <c r="D59" i="1" a="1"/>
  <c r="D59" i="1" s="1"/>
  <c r="D60" i="1" a="1"/>
  <c r="D60" i="1"/>
  <c r="E60" i="1" s="1"/>
  <c r="D61" i="1" a="1"/>
  <c r="D61" i="1"/>
  <c r="E61" i="1" s="1"/>
  <c r="D62" i="1" a="1"/>
  <c r="D62" i="1" s="1"/>
  <c r="E62" i="1" s="1"/>
  <c r="D63" i="1" a="1"/>
  <c r="D63" i="1" s="1"/>
  <c r="E63" i="1" s="1"/>
  <c r="D64" i="1" a="1"/>
  <c r="D64" i="1"/>
  <c r="E64" i="1" s="1"/>
  <c r="D65" i="1" a="1"/>
  <c r="D65" i="1"/>
  <c r="E65" i="1" s="1"/>
  <c r="D66" i="1" a="1"/>
  <c r="D66" i="1" s="1"/>
  <c r="E66" i="1" s="1"/>
  <c r="D67" i="1" a="1"/>
  <c r="D67" i="1"/>
  <c r="E67" i="1" s="1"/>
  <c r="D68" i="1" a="1"/>
  <c r="D68" i="1"/>
  <c r="E68" i="1" s="1"/>
  <c r="D69" i="1" a="1"/>
  <c r="D69" i="1" s="1"/>
  <c r="D70" i="1" a="1"/>
  <c r="D70" i="1"/>
  <c r="D71" i="1" a="1"/>
  <c r="D71" i="1"/>
  <c r="D72" i="1" a="1"/>
  <c r="D72" i="1" s="1"/>
  <c r="D73" i="1" a="1"/>
  <c r="D73" i="1"/>
  <c r="D74" i="1" a="1"/>
  <c r="D74" i="1"/>
  <c r="D75" i="1" a="1"/>
  <c r="D75" i="1" s="1"/>
  <c r="E75" i="1" s="1"/>
  <c r="D76" i="1" a="1"/>
  <c r="D76" i="1" s="1"/>
  <c r="E76" i="1" s="1"/>
  <c r="D77" i="1" a="1"/>
  <c r="D77" i="1"/>
  <c r="E77" i="1" s="1"/>
  <c r="D78" i="1" a="1"/>
  <c r="D78" i="1"/>
  <c r="E78" i="1" s="1"/>
  <c r="D79" i="1" a="1"/>
  <c r="D79" i="1" s="1"/>
  <c r="E79" i="1" s="1"/>
  <c r="D80" i="1" a="1"/>
  <c r="D80" i="1"/>
  <c r="E80" i="1" s="1"/>
  <c r="D81" i="1" a="1"/>
  <c r="D81" i="1" s="1"/>
  <c r="E81" i="1" s="1"/>
  <c r="D82" i="1" a="1"/>
  <c r="D82" i="1"/>
  <c r="E82" i="1" s="1"/>
  <c r="D83" i="1" a="1"/>
  <c r="D83" i="1" s="1"/>
  <c r="E83" i="1" s="1"/>
  <c r="D84" i="1" a="1"/>
  <c r="D84" i="1"/>
  <c r="D85" i="1" a="1"/>
  <c r="D85" i="1" s="1"/>
  <c r="D86" i="1" a="1"/>
  <c r="D86" i="1"/>
  <c r="D87" i="1" a="1"/>
  <c r="D87" i="1" s="1"/>
  <c r="E87" i="1" s="1"/>
  <c r="D88" i="1" a="1"/>
  <c r="D88" i="1"/>
  <c r="E88" i="1" s="1"/>
  <c r="D89" i="1" a="1"/>
  <c r="D89" i="1"/>
  <c r="E89" i="1" s="1"/>
  <c r="D90" i="1" a="1"/>
  <c r="D90" i="1" s="1"/>
  <c r="E90" i="1" s="1"/>
  <c r="D91" i="1" a="1"/>
  <c r="D91" i="1"/>
  <c r="D92" i="1" a="1"/>
  <c r="D92" i="1" s="1"/>
  <c r="D93" i="1" a="1"/>
  <c r="D93" i="1" s="1"/>
  <c r="D94" i="1" a="1"/>
  <c r="D94" i="1"/>
  <c r="D95" i="1" a="1"/>
  <c r="D95" i="1"/>
  <c r="E95" i="1" s="1"/>
  <c r="D96" i="1" a="1"/>
  <c r="D96" i="1"/>
  <c r="E96" i="1" s="1"/>
  <c r="D97" i="1" a="1"/>
  <c r="D97" i="1" s="1"/>
  <c r="E97" i="1" s="1"/>
  <c r="D98" i="1" a="1"/>
  <c r="D98" i="1" s="1"/>
  <c r="D99" i="1" a="1"/>
  <c r="D99" i="1" s="1"/>
  <c r="E99" i="1" s="1"/>
  <c r="D100" i="1" a="1"/>
  <c r="D100" i="1"/>
  <c r="E100" i="1" s="1"/>
  <c r="D101" i="1" a="1"/>
  <c r="D101" i="1"/>
  <c r="E101" i="1" s="1"/>
  <c r="D2" i="1" a="1"/>
  <c r="D2" i="1"/>
  <c r="E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<sst xmlns="http://schemas.openxmlformats.org/spreadsheetml/2006/main" count="270" uniqueCount="140">
  <si>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</si>
  <si>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</si>
  <si>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</si>
  <si>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</si>
  <si>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</si>
  <si>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</si>
  <si>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</si>
  <si>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</si>
  <si>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4.5</t>
  </si>
  <si>
    <t>WX789MN</t>
  </si>
  <si>
    <t>5.5</t>
  </si>
  <si>
    <t>YZ012OP</t>
  </si>
  <si>
    <t>6.5</t>
  </si>
  <si>
    <t>AB345QR</t>
  </si>
  <si>
    <t>7.5</t>
  </si>
  <si>
    <t>CD678ST</t>
  </si>
  <si>
    <t>8.5</t>
  </si>
  <si>
    <t>EF901UV</t>
  </si>
  <si>
    <t>9.5</t>
  </si>
  <si>
    <t>GH234WX</t>
  </si>
  <si>
    <t>10.0</t>
  </si>
  <si>
    <t>IJ567YZ</t>
  </si>
  <si>
    <t>0.5</t>
  </si>
  <si>
    <t>KL890AB</t>
  </si>
  <si>
    <t>1.0</t>
  </si>
  <si>
    <t>MN123CD</t>
  </si>
  <si>
    <t>2.0</t>
  </si>
  <si>
    <t>OP456EF</t>
  </si>
  <si>
    <t>3.0</t>
  </si>
  <si>
    <t>QR789GH</t>
  </si>
  <si>
    <t>4.0</t>
  </si>
  <si>
    <t>ST012IJ</t>
  </si>
  <si>
    <t>5.0</t>
  </si>
  <si>
    <t>UV345KL</t>
  </si>
  <si>
    <t>6.0</t>
  </si>
  <si>
    <t>WX678MN</t>
  </si>
  <si>
    <t>7.0</t>
  </si>
  <si>
    <t>YZ901OP</t>
  </si>
  <si>
    <t>8.0</t>
  </si>
  <si>
    <t>AB234QR</t>
  </si>
  <si>
    <t>9.0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</si>
  <si>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</si>
  <si>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</si>
  <si>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</si>
  <si>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</si>
  <si>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</si>
  <si>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</si>
  <si>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</si>
  <si>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</si>
  <si>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</si>
  <si>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</si>
  <si>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</si>
  <si>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</si>
  <si>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</si>
  <si>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</si>
  <si>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</si>
  <si>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</si>
  <si>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</si>
  <si>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</si>
  <si>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</si>
  <si>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</si>
  <si>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</si>
  <si>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</si>
  <si>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</si>
  <si>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</si>
  <si>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</si>
  <si>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</si>
  <si>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</si>
  <si>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</si>
  <si>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</si>
  <si>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</si>
  <si>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</si>
  <si>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</si>
  <si>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</si>
  <si>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</si>
  <si>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</si>
  <si>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</si>
  <si>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</si>
  <si>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</si>
  <si>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</si>
  <si>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</si>
  <si>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</si>
  <si>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</si>
  <si>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</si>
  <si>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</si>
  <si>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</si>
  <si>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</si>
  <si>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</si>
  <si>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</si>
  <si>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</si>
  <si>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</si>
  <si>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</si>
  <si>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</si>
  <si>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</si>
  <si>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</si>
  <si>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</si>
  <si>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</si>
  <si>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</si>
  <si>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</si>
  <si>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</si>
  <si>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</si>
  <si>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</si>
  <si>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</si>
  <si>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</si>
  <si>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</si>
  <si>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</si>
  <si>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</si>
  <si>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</si>
  <si>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</si>
  <si>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</si>
  <si>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</si>
  <si>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</si>
  <si>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</si>
  <si>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</si>
  <si>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</si>
  <si>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</si>
  <si>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</si>
  <si>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</si>
  <si>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</si>
  <si>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</si>
  <si>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</si>
  <si>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</si>
  <si>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</si>
  <si>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</si>
  <si>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</si>
  <si>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</si>
  <si>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</si>
  <si>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A</t>
  </si>
  <si>
    <t>F</t>
  </si>
  <si>
    <t>ORE DI SOSTA</t>
  </si>
  <si>
    <t>1.50</t>
  </si>
  <si>
    <t>2.50</t>
  </si>
  <si>
    <t>3.50</t>
  </si>
  <si>
    <t>ORE PARCHEGGIATE IN NUMERO</t>
  </si>
  <si>
    <t>FRUTTO</t>
  </si>
  <si>
    <t>N_RIGHE</t>
  </si>
  <si>
    <t>PESO_TOTALE</t>
  </si>
  <si>
    <t>PESO MINIMO MELE</t>
  </si>
  <si>
    <t>COSTO MELE</t>
  </si>
  <si>
    <t>(ho modificato il valore nella riga 15 per verificare che la funzione tornasse)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</si>
</sst>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4" fontId="2" fillId="0" borderId="0" xfId="0" applyNumberFormat="1" applyFont="1"/>
    <xf numFmtId="4" fontId="5" fillId="0" borderId="0" xfId="0" applyNumberFormat="1" applyFont="1"/>
    <xf numFmtId="0" fontId="3" fillId="0" borderId="0" xfId="0" applyFont="1"/>
    <xf numFmtId="0" fontId="3" fillId="2" borderId="0" xfId="0" applyFont="1" applyFill="1"/>
    <xf numFmtId="2" fontId="0" fillId="2" borderId="0" xfId="0" applyNumberFormat="1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22861</xdr:colOff>
      <xdr:row>8</xdr:row>
      <xdr:rowOff>38100</xdr:rowOff>
    </xdr:from>
    <xdr:to>
      <xdr:col>14</xdr:col>
      <xdr:colOff>251461</xdr:colOff>
      <xdr:row>26</xdr:row>
      <xdr:rowOff>116637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C93F821-DB34-19AB-23A8-D8BB2F9CCB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6384"/>
        <a:stretch>
          <a:fillRect/>
        </a:stretch>
      </xdr:blipFill>
      <xdr:spPr>
        <a:xfrm>
          <a:off x="8519161" y="1386840"/>
          <a:ext cx="6499860" cy="30960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7619</xdr:colOff>
      <xdr:row>8</xdr:row>
      <xdr:rowOff>7620</xdr:rowOff>
    </xdr:from>
    <xdr:to>
      <xdr:col>9</xdr:col>
      <xdr:colOff>129540</xdr:colOff>
      <xdr:row>27</xdr:row>
      <xdr:rowOff>15240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E6C9408-9A4E-014C-786E-1F9762C6C0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889" r="8290" b="17490"/>
        <a:stretch>
          <a:fillRect/>
        </a:stretch>
      </xdr:blipFill>
      <xdr:spPr>
        <a:xfrm>
          <a:off x="5554979" y="1569720"/>
          <a:ext cx="8161021" cy="3741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"/>
  <sheetViews>
    <sheetView workbookViewId="0">
      <selection activeCell="G23" sqref="G23"/>
    </sheetView>
  </sheetViews>
  <sheetFormatPr defaultColWidth="12.6640625" defaultRowHeight="15.75" customHeight="1" x14ac:dyDescent="0.25"/>
  <cols>
    <col min="1" max="1" width="10.33203125" bestFit="1" customWidth="1"/>
    <col min="2" max="2" width="24.5546875" bestFit="1" customWidth="1"/>
    <col min="3" max="3" width="34.6640625" bestFit="1" customWidth="1"/>
    <col min="4" max="4" width="22" bestFit="1" customWidth="1"/>
    <col min="5" max="5" width="10.33203125" bestFit="1" customWidth="1"/>
    <col min="6" max="6" width="10.33203125" customWidth="1"/>
    <col min="7" max="7" width="22" bestFit="1" customWidth="1"/>
    <col min="9" max="9" width="15.44140625" bestFit="1" customWidth="1"/>
  </cols>
  <sheetData>
    <row r="1" spans="1:27" ht="13.8" x14ac:dyDescent="0.25">
      <c r="A1" s="1" t="s">
        <v>0</v>
      </c>
      <c r="B1" s="1" t="s">
        <v>1</v>
      </c>
      <c r="C1" s="8" t="s">
        <v>133</v>
      </c>
      <c r="D1" s="1" t="s">
        <v>2</v>
      </c>
      <c r="E1" s="1" t="s">
        <v>3</v>
      </c>
      <c r="F1" s="1"/>
      <c r="G1" s="1" t="s">
        <v>2</v>
      </c>
      <c r="H1" s="1" t="s">
        <v>3</v>
      </c>
      <c r="I1" s="1" t="s">
        <v>129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2" x14ac:dyDescent="0.25">
      <c r="A2" s="2" t="s">
        <v>4</v>
      </c>
      <c r="B2" s="6" t="s">
        <v>130</v>
      </c>
      <c r="C2" s="9" t="str">
        <f>SUBSTITUTE(B2,".",",")</f>
        <v>1,50</v>
      </c>
      <c r="D2" cm="1">
        <f t="array" ref="D2">_xlfn.IFS(A2&lt;="F*",0,A2&lt;="M*",1,A2&lt;="Z*",2)</f>
        <v>0</v>
      </c>
      <c r="E2" s="3">
        <f>VLOOKUP(D2,$G$2:$H$4,2,FALSE)*(C2/$I$2)</f>
        <v>6</v>
      </c>
      <c r="F2" s="3"/>
      <c r="G2">
        <v>0</v>
      </c>
      <c r="H2" s="3">
        <v>2</v>
      </c>
      <c r="I2" s="4">
        <v>0.5</v>
      </c>
      <c r="J2" t="s">
        <v>128</v>
      </c>
      <c r="K2" t="s">
        <v>127</v>
      </c>
      <c r="L2" t="b">
        <f>J2&gt;K2</f>
        <v>1</v>
      </c>
    </row>
    <row r="3" spans="1:27" ht="13.2" x14ac:dyDescent="0.25">
      <c r="A3" s="2" t="s">
        <v>5</v>
      </c>
      <c r="B3" s="6" t="s">
        <v>131</v>
      </c>
      <c r="C3" s="9" t="str">
        <f>SUBSTITUTE(B3,".",",")</f>
        <v>2,50</v>
      </c>
      <c r="D3" cm="1">
        <f t="array" ref="D3">_xlfn.IFS(A3&lt;="F*",0,A3&lt;="M*",1,A3&lt;="Z*",2)</f>
        <v>1</v>
      </c>
      <c r="E3" s="3">
        <f t="shared" ref="E3:E66" si="0">VLOOKUP(D3,$G$2:$H$4,2,FALSE)*(C3/$I$2)</f>
        <v>7.5</v>
      </c>
      <c r="F3" s="3"/>
      <c r="G3">
        <v>1</v>
      </c>
      <c r="H3" s="3">
        <v>1.5</v>
      </c>
      <c r="I3" s="4">
        <v>0.5</v>
      </c>
    </row>
    <row r="4" spans="1:27" ht="13.2" x14ac:dyDescent="0.25">
      <c r="A4" s="2" t="s">
        <v>6</v>
      </c>
      <c r="B4" s="6" t="s">
        <v>132</v>
      </c>
      <c r="C4" s="9" t="str">
        <f>SUBSTITUTE(B4,".",",")</f>
        <v>3,50</v>
      </c>
      <c r="D4" cm="1">
        <f t="array" ref="D4">_xlfn.IFS(A4&lt;="F*",0,A4&lt;="M*",1,A4&lt;="Z*",2)</f>
        <v>2</v>
      </c>
      <c r="E4" s="3">
        <f t="shared" si="0"/>
        <v>7</v>
      </c>
      <c r="F4" s="3"/>
      <c r="G4">
        <v>2</v>
      </c>
      <c r="H4" s="3">
        <v>1</v>
      </c>
      <c r="I4" s="4">
        <v>0.5</v>
      </c>
    </row>
    <row r="5" spans="1:27" ht="13.2" x14ac:dyDescent="0.25">
      <c r="A5" s="2" t="s">
        <v>7</v>
      </c>
      <c r="B5" s="5" t="s">
        <v>8</v>
      </c>
      <c r="C5" s="9" t="str">
        <f>SUBSTITUTE(B5,".",",")</f>
        <v>4,5</v>
      </c>
      <c r="D5" cm="1">
        <f t="array" ref="D5">_xlfn.IFS(A5&lt;="F*",0,A5&lt;="M*",1,A5&lt;="Z*",2)</f>
        <v>2</v>
      </c>
      <c r="E5" s="3">
        <f t="shared" si="0"/>
        <v>9</v>
      </c>
      <c r="F5" s="3"/>
    </row>
    <row r="6" spans="1:27" ht="13.2" x14ac:dyDescent="0.25">
      <c r="A6" s="2" t="s">
        <v>9</v>
      </c>
      <c r="B6" s="5" t="s">
        <v>10</v>
      </c>
      <c r="C6" s="9" t="str">
        <f>SUBSTITUTE(B6,".",",")</f>
        <v>5,5</v>
      </c>
      <c r="D6" cm="1">
        <f t="array" ref="D6">_xlfn.IFS(A6&lt;="F*",0,A6&lt;="M*",1,A6&lt;="Z*",2)</f>
        <v>2</v>
      </c>
      <c r="E6" s="3">
        <f t="shared" si="0"/>
        <v>11</v>
      </c>
      <c r="F6" s="3"/>
    </row>
    <row r="7" spans="1:27" ht="13.2" x14ac:dyDescent="0.25">
      <c r="A7" s="2" t="s">
        <v>11</v>
      </c>
      <c r="B7" s="5" t="s">
        <v>12</v>
      </c>
      <c r="C7" s="9" t="str">
        <f>SUBSTITUTE(B7,".",",")</f>
        <v>6,5</v>
      </c>
      <c r="D7" cm="1">
        <f t="array" ref="D7">_xlfn.IFS(A7&lt;="F*",0,A7&lt;="M*",1,A7&lt;="Z*",2)</f>
        <v>2</v>
      </c>
      <c r="E7" s="3">
        <f t="shared" si="0"/>
        <v>13</v>
      </c>
      <c r="F7" s="3"/>
    </row>
    <row r="8" spans="1:27" ht="13.2" x14ac:dyDescent="0.25">
      <c r="A8" s="2" t="s">
        <v>13</v>
      </c>
      <c r="B8" s="5" t="s">
        <v>14</v>
      </c>
      <c r="C8" s="9" t="str">
        <f>SUBSTITUTE(B8,".",",")</f>
        <v>7,5</v>
      </c>
      <c r="D8" cm="1">
        <f t="array" ref="D8">_xlfn.IFS(A8&lt;="F*",0,A8&lt;="M*",1,A8&lt;="Z*",2)</f>
        <v>0</v>
      </c>
      <c r="E8" s="3">
        <f t="shared" si="0"/>
        <v>30</v>
      </c>
      <c r="F8" s="3"/>
    </row>
    <row r="9" spans="1:27" ht="13.2" x14ac:dyDescent="0.25">
      <c r="A9" s="2" t="s">
        <v>15</v>
      </c>
      <c r="B9" s="5" t="s">
        <v>16</v>
      </c>
      <c r="C9" s="9" t="str">
        <f>SUBSTITUTE(B9,".",",")</f>
        <v>8,5</v>
      </c>
      <c r="D9" cm="1">
        <f t="array" ref="D9">_xlfn.IFS(A9&lt;="F*",0,A9&lt;="M*",1,A9&lt;="Z*",2)</f>
        <v>0</v>
      </c>
      <c r="E9" s="3">
        <f t="shared" si="0"/>
        <v>34</v>
      </c>
      <c r="F9" s="3"/>
    </row>
    <row r="10" spans="1:27" ht="13.2" x14ac:dyDescent="0.25">
      <c r="A10" s="2" t="s">
        <v>17</v>
      </c>
      <c r="B10" s="5" t="s">
        <v>18</v>
      </c>
      <c r="C10" s="9" t="str">
        <f>SUBSTITUTE(B10,".",",")</f>
        <v>9,5</v>
      </c>
      <c r="D10" cm="1">
        <f t="array" ref="D10">_xlfn.IFS(A10&lt;="F*",0,A10&lt;="M*",1,A10&lt;="Z*",2)</f>
        <v>0</v>
      </c>
      <c r="E10" s="3">
        <f t="shared" si="0"/>
        <v>38</v>
      </c>
      <c r="F10" s="3"/>
    </row>
    <row r="11" spans="1:27" ht="13.2" x14ac:dyDescent="0.25">
      <c r="A11" s="2" t="s">
        <v>19</v>
      </c>
      <c r="B11" s="5" t="s">
        <v>20</v>
      </c>
      <c r="C11" s="9" t="str">
        <f>SUBSTITUTE(B11,".",",")</f>
        <v>10,0</v>
      </c>
      <c r="D11" cm="1">
        <f t="array" ref="D11">_xlfn.IFS(A11&lt;="F*",0,A11&lt;="M*",1,A11&lt;="Z*",2)</f>
        <v>1</v>
      </c>
      <c r="E11" s="3">
        <f t="shared" si="0"/>
        <v>30</v>
      </c>
      <c r="F11" s="3"/>
    </row>
    <row r="12" spans="1:27" ht="13.2" x14ac:dyDescent="0.25">
      <c r="A12" s="2" t="s">
        <v>21</v>
      </c>
      <c r="B12" s="5" t="s">
        <v>22</v>
      </c>
      <c r="C12" s="9" t="str">
        <f>SUBSTITUTE(B12,".",",")</f>
        <v>0,5</v>
      </c>
      <c r="D12" cm="1">
        <f t="array" ref="D12">_xlfn.IFS(A12&lt;="F*",0,A12&lt;="M*",1,A12&lt;="Z*",2)</f>
        <v>1</v>
      </c>
      <c r="E12" s="3">
        <f t="shared" si="0"/>
        <v>1.5</v>
      </c>
      <c r="F12" s="3"/>
    </row>
    <row r="13" spans="1:27" ht="13.2" x14ac:dyDescent="0.25">
      <c r="A13" s="2" t="s">
        <v>23</v>
      </c>
      <c r="B13" s="5" t="s">
        <v>24</v>
      </c>
      <c r="C13" s="9" t="str">
        <f>SUBSTITUTE(B13,".",",")</f>
        <v>1,0</v>
      </c>
      <c r="D13" cm="1">
        <f t="array" ref="D13">_xlfn.IFS(A13&lt;="F*",0,A13&lt;="M*",1,A13&lt;="Z*",2)</f>
        <v>1</v>
      </c>
      <c r="E13" s="3">
        <f t="shared" si="0"/>
        <v>3</v>
      </c>
      <c r="F13" s="3"/>
    </row>
    <row r="14" spans="1:27" ht="13.2" x14ac:dyDescent="0.25">
      <c r="A14" s="2" t="s">
        <v>25</v>
      </c>
      <c r="B14" s="5" t="s">
        <v>26</v>
      </c>
      <c r="C14" s="9" t="str">
        <f>SUBSTITUTE(B14,".",",")</f>
        <v>2,0</v>
      </c>
      <c r="D14" cm="1">
        <f t="array" ref="D14">_xlfn.IFS(A14&lt;="F*",0,A14&lt;="M*",1,A14&lt;="Z*",2)</f>
        <v>2</v>
      </c>
      <c r="E14" s="3">
        <f t="shared" si="0"/>
        <v>4</v>
      </c>
      <c r="F14" s="3"/>
    </row>
    <row r="15" spans="1:27" ht="13.2" x14ac:dyDescent="0.25">
      <c r="A15" s="2" t="s">
        <v>27</v>
      </c>
      <c r="B15" s="5" t="s">
        <v>28</v>
      </c>
      <c r="C15" s="9" t="str">
        <f>SUBSTITUTE(B15,".",",")</f>
        <v>3,0</v>
      </c>
      <c r="D15" cm="1">
        <f t="array" ref="D15">_xlfn.IFS(A15&lt;="F*",0,A15&lt;="M*",1,A15&lt;="Z*",2)</f>
        <v>2</v>
      </c>
      <c r="E15" s="3">
        <f t="shared" si="0"/>
        <v>6</v>
      </c>
      <c r="F15" s="3"/>
    </row>
    <row r="16" spans="1:27" ht="13.2" x14ac:dyDescent="0.25">
      <c r="A16" s="2" t="s">
        <v>29</v>
      </c>
      <c r="B16" s="5" t="s">
        <v>30</v>
      </c>
      <c r="C16" s="9" t="str">
        <f>SUBSTITUTE(B16,".",",")</f>
        <v>4,0</v>
      </c>
      <c r="D16" cm="1">
        <f t="array" ref="D16">_xlfn.IFS(A16&lt;="F*",0,A16&lt;="M*",1,A16&lt;="Z*",2)</f>
        <v>2</v>
      </c>
      <c r="E16" s="3">
        <f t="shared" si="0"/>
        <v>8</v>
      </c>
      <c r="F16" s="3"/>
    </row>
    <row r="17" spans="1:6" ht="13.2" x14ac:dyDescent="0.25">
      <c r="A17" s="2" t="s">
        <v>31</v>
      </c>
      <c r="B17" s="5" t="s">
        <v>32</v>
      </c>
      <c r="C17" s="9" t="str">
        <f>SUBSTITUTE(B17,".",",")</f>
        <v>5,0</v>
      </c>
      <c r="D17" cm="1">
        <f t="array" ref="D17">_xlfn.IFS(A17&lt;="F*",0,A17&lt;="M*",1,A17&lt;="Z*",2)</f>
        <v>2</v>
      </c>
      <c r="E17" s="3">
        <f t="shared" si="0"/>
        <v>10</v>
      </c>
      <c r="F17" s="3"/>
    </row>
    <row r="18" spans="1:6" ht="13.2" x14ac:dyDescent="0.25">
      <c r="A18" s="2" t="s">
        <v>33</v>
      </c>
      <c r="B18" s="5" t="s">
        <v>34</v>
      </c>
      <c r="C18" s="9" t="str">
        <f>SUBSTITUTE(B18,".",",")</f>
        <v>6,0</v>
      </c>
      <c r="D18" cm="1">
        <f t="array" ref="D18">_xlfn.IFS(A18&lt;="F*",0,A18&lt;="M*",1,A18&lt;="Z*",2)</f>
        <v>2</v>
      </c>
      <c r="E18" s="3">
        <f t="shared" si="0"/>
        <v>12</v>
      </c>
      <c r="F18" s="3"/>
    </row>
    <row r="19" spans="1:6" ht="13.2" x14ac:dyDescent="0.25">
      <c r="A19" s="2" t="s">
        <v>35</v>
      </c>
      <c r="B19" s="5" t="s">
        <v>36</v>
      </c>
      <c r="C19" s="9" t="str">
        <f>SUBSTITUTE(B19,".",",")</f>
        <v>7,0</v>
      </c>
      <c r="D19" cm="1">
        <f t="array" ref="D19">_xlfn.IFS(A19&lt;="F*",0,A19&lt;="M*",1,A19&lt;="Z*",2)</f>
        <v>2</v>
      </c>
      <c r="E19" s="3">
        <f t="shared" si="0"/>
        <v>14</v>
      </c>
      <c r="F19" s="3"/>
    </row>
    <row r="20" spans="1:6" ht="13.2" x14ac:dyDescent="0.25">
      <c r="A20" s="2" t="s">
        <v>37</v>
      </c>
      <c r="B20" s="5" t="s">
        <v>38</v>
      </c>
      <c r="C20" s="9" t="str">
        <f>SUBSTITUTE(B20,".",",")</f>
        <v>8,0</v>
      </c>
      <c r="D20" cm="1">
        <f t="array" ref="D20">_xlfn.IFS(A20&lt;="F*",0,A20&lt;="M*",1,A20&lt;="Z*",2)</f>
        <v>2</v>
      </c>
      <c r="E20" s="3">
        <f t="shared" si="0"/>
        <v>16</v>
      </c>
      <c r="F20" s="3"/>
    </row>
    <row r="21" spans="1:6" ht="13.2" x14ac:dyDescent="0.25">
      <c r="A21" s="2" t="s">
        <v>39</v>
      </c>
      <c r="B21" s="5" t="s">
        <v>40</v>
      </c>
      <c r="C21" s="9" t="str">
        <f>SUBSTITUTE(B21,".",",")</f>
        <v>9,0</v>
      </c>
      <c r="D21" cm="1">
        <f t="array" ref="D21">_xlfn.IFS(A21&lt;="F*",0,A21&lt;="M*",1,A21&lt;="Z*",2)</f>
        <v>0</v>
      </c>
      <c r="E21" s="3">
        <f t="shared" si="0"/>
        <v>36</v>
      </c>
      <c r="F21" s="3"/>
    </row>
    <row r="22" spans="1:6" ht="13.2" x14ac:dyDescent="0.25">
      <c r="A22" s="2" t="s">
        <v>41</v>
      </c>
      <c r="B22" s="5" t="s">
        <v>20</v>
      </c>
      <c r="C22" s="9" t="str">
        <f>SUBSTITUTE(B22,".",",")</f>
        <v>10,0</v>
      </c>
      <c r="D22" cm="1">
        <f t="array" ref="D22">_xlfn.IFS(A22&lt;="F*",0,A22&lt;="M*",1,A22&lt;="Z*",2)</f>
        <v>0</v>
      </c>
      <c r="E22" s="3">
        <f t="shared" si="0"/>
        <v>40</v>
      </c>
      <c r="F22" s="3"/>
    </row>
    <row r="23" spans="1:6" ht="13.2" x14ac:dyDescent="0.25">
      <c r="A23" s="2" t="s">
        <v>42</v>
      </c>
      <c r="B23" s="5" t="s">
        <v>22</v>
      </c>
      <c r="C23" s="9" t="str">
        <f>SUBSTITUTE(B23,".",",")</f>
        <v>0,5</v>
      </c>
      <c r="D23" cm="1">
        <f t="array" ref="D23">_xlfn.IFS(A23&lt;="F*",0,A23&lt;="M*",1,A23&lt;="Z*",2)</f>
        <v>0</v>
      </c>
      <c r="E23" s="3">
        <f t="shared" si="0"/>
        <v>2</v>
      </c>
      <c r="F23" s="3"/>
    </row>
    <row r="24" spans="1:6" ht="13.2" x14ac:dyDescent="0.25">
      <c r="A24" s="2" t="s">
        <v>43</v>
      </c>
      <c r="B24" s="5" t="s">
        <v>24</v>
      </c>
      <c r="C24" s="9" t="str">
        <f>SUBSTITUTE(B24,".",",")</f>
        <v>1,0</v>
      </c>
      <c r="D24" cm="1">
        <f t="array" ref="D24">_xlfn.IFS(A24&lt;="F*",0,A24&lt;="M*",1,A24&lt;="Z*",2)</f>
        <v>1</v>
      </c>
      <c r="E24" s="3">
        <f t="shared" si="0"/>
        <v>3</v>
      </c>
      <c r="F24" s="3"/>
    </row>
    <row r="25" spans="1:6" ht="13.2" x14ac:dyDescent="0.25">
      <c r="A25" s="2" t="s">
        <v>44</v>
      </c>
      <c r="B25" s="5" t="s">
        <v>26</v>
      </c>
      <c r="C25" s="9" t="str">
        <f>SUBSTITUTE(B25,".",",")</f>
        <v>2,0</v>
      </c>
      <c r="D25" cm="1">
        <f t="array" ref="D25">_xlfn.IFS(A25&lt;="F*",0,A25&lt;="M*",1,A25&lt;="Z*",2)</f>
        <v>1</v>
      </c>
      <c r="E25" s="3">
        <f t="shared" si="0"/>
        <v>6</v>
      </c>
      <c r="F25" s="3"/>
    </row>
    <row r="26" spans="1:6" ht="13.2" x14ac:dyDescent="0.25">
      <c r="A26" s="2" t="s">
        <v>45</v>
      </c>
      <c r="B26" s="5" t="s">
        <v>28</v>
      </c>
      <c r="C26" s="9" t="str">
        <f>SUBSTITUTE(B26,".",",")</f>
        <v>3,0</v>
      </c>
      <c r="D26" cm="1">
        <f t="array" ref="D26">_xlfn.IFS(A26&lt;="F*",0,A26&lt;="M*",1,A26&lt;="Z*",2)</f>
        <v>1</v>
      </c>
      <c r="E26" s="3">
        <f t="shared" si="0"/>
        <v>9</v>
      </c>
      <c r="F26" s="3"/>
    </row>
    <row r="27" spans="1:6" ht="13.2" x14ac:dyDescent="0.25">
      <c r="A27" s="2" t="s">
        <v>46</v>
      </c>
      <c r="B27" s="5" t="s">
        <v>30</v>
      </c>
      <c r="C27" s="9" t="str">
        <f>SUBSTITUTE(B27,".",",")</f>
        <v>4,0</v>
      </c>
      <c r="D27" cm="1">
        <f t="array" ref="D27">_xlfn.IFS(A27&lt;="F*",0,A27&lt;="M*",1,A27&lt;="Z*",2)</f>
        <v>2</v>
      </c>
      <c r="E27" s="3">
        <f t="shared" si="0"/>
        <v>8</v>
      </c>
      <c r="F27" s="3"/>
    </row>
    <row r="28" spans="1:6" ht="13.2" x14ac:dyDescent="0.25">
      <c r="A28" s="2" t="s">
        <v>47</v>
      </c>
      <c r="B28" s="5" t="s">
        <v>32</v>
      </c>
      <c r="C28" s="9" t="str">
        <f>SUBSTITUTE(B28,".",",")</f>
        <v>5,0</v>
      </c>
      <c r="D28" cm="1">
        <f t="array" ref="D28">_xlfn.IFS(A28&lt;="F*",0,A28&lt;="M*",1,A28&lt;="Z*",2)</f>
        <v>2</v>
      </c>
      <c r="E28" s="3">
        <f t="shared" si="0"/>
        <v>10</v>
      </c>
      <c r="F28" s="3"/>
    </row>
    <row r="29" spans="1:6" ht="13.2" x14ac:dyDescent="0.25">
      <c r="A29" s="2" t="s">
        <v>48</v>
      </c>
      <c r="B29" s="5" t="s">
        <v>34</v>
      </c>
      <c r="C29" s="9" t="str">
        <f>SUBSTITUTE(B29,".",",")</f>
        <v>6,0</v>
      </c>
      <c r="D29" cm="1">
        <f t="array" ref="D29">_xlfn.IFS(A29&lt;="F*",0,A29&lt;="M*",1,A29&lt;="Z*",2)</f>
        <v>2</v>
      </c>
      <c r="E29" s="3">
        <f t="shared" si="0"/>
        <v>12</v>
      </c>
      <c r="F29" s="3"/>
    </row>
    <row r="30" spans="1:6" ht="13.2" x14ac:dyDescent="0.25">
      <c r="A30" s="2" t="s">
        <v>49</v>
      </c>
      <c r="B30" s="5" t="s">
        <v>36</v>
      </c>
      <c r="C30" s="9" t="str">
        <f>SUBSTITUTE(B30,".",",")</f>
        <v>7,0</v>
      </c>
      <c r="D30" cm="1">
        <f t="array" ref="D30">_xlfn.IFS(A30&lt;="F*",0,A30&lt;="M*",1,A30&lt;="Z*",2)</f>
        <v>2</v>
      </c>
      <c r="E30" s="3">
        <f t="shared" si="0"/>
        <v>14</v>
      </c>
      <c r="F30" s="3"/>
    </row>
    <row r="31" spans="1:6" ht="13.2" x14ac:dyDescent="0.25">
      <c r="A31" s="2" t="s">
        <v>50</v>
      </c>
      <c r="B31" s="5" t="s">
        <v>38</v>
      </c>
      <c r="C31" s="9" t="str">
        <f>SUBSTITUTE(B31,".",",")</f>
        <v>8,0</v>
      </c>
      <c r="D31" cm="1">
        <f t="array" ref="D31">_xlfn.IFS(A31&lt;="F*",0,A31&lt;="M*",1,A31&lt;="Z*",2)</f>
        <v>2</v>
      </c>
      <c r="E31" s="3">
        <f t="shared" si="0"/>
        <v>16</v>
      </c>
      <c r="F31" s="3"/>
    </row>
    <row r="32" spans="1:6" ht="13.2" x14ac:dyDescent="0.25">
      <c r="A32" s="2" t="s">
        <v>51</v>
      </c>
      <c r="B32" s="5" t="s">
        <v>40</v>
      </c>
      <c r="C32" s="9" t="str">
        <f>SUBSTITUTE(B32,".",",")</f>
        <v>9,0</v>
      </c>
      <c r="D32" cm="1">
        <f t="array" ref="D32">_xlfn.IFS(A32&lt;="F*",0,A32&lt;="M*",1,A32&lt;="Z*",2)</f>
        <v>2</v>
      </c>
      <c r="E32" s="3">
        <f t="shared" si="0"/>
        <v>18</v>
      </c>
      <c r="F32" s="3"/>
    </row>
    <row r="33" spans="1:6" ht="13.2" x14ac:dyDescent="0.25">
      <c r="A33" s="2" t="s">
        <v>52</v>
      </c>
      <c r="B33" s="5" t="s">
        <v>20</v>
      </c>
      <c r="C33" s="9" t="str">
        <f>SUBSTITUTE(B33,".",",")</f>
        <v>10,0</v>
      </c>
      <c r="D33" cm="1">
        <f t="array" ref="D33">_xlfn.IFS(A33&lt;="F*",0,A33&lt;="M*",1,A33&lt;="Z*",2)</f>
        <v>2</v>
      </c>
      <c r="E33" s="3">
        <f t="shared" si="0"/>
        <v>20</v>
      </c>
      <c r="F33" s="3"/>
    </row>
    <row r="34" spans="1:6" ht="13.2" x14ac:dyDescent="0.25">
      <c r="A34" s="2" t="s">
        <v>53</v>
      </c>
      <c r="B34" s="5" t="s">
        <v>22</v>
      </c>
      <c r="C34" s="9" t="str">
        <f>SUBSTITUTE(B34,".",",")</f>
        <v>0,5</v>
      </c>
      <c r="D34" cm="1">
        <f t="array" ref="D34">_xlfn.IFS(A34&lt;="F*",0,A34&lt;="M*",1,A34&lt;="Z*",2)</f>
        <v>0</v>
      </c>
      <c r="E34" s="3">
        <f t="shared" si="0"/>
        <v>2</v>
      </c>
      <c r="F34" s="3"/>
    </row>
    <row r="35" spans="1:6" ht="13.2" x14ac:dyDescent="0.25">
      <c r="A35" s="2" t="s">
        <v>54</v>
      </c>
      <c r="B35" s="5" t="s">
        <v>24</v>
      </c>
      <c r="C35" s="9" t="str">
        <f>SUBSTITUTE(B35,".",",")</f>
        <v>1,0</v>
      </c>
      <c r="D35" cm="1">
        <f t="array" ref="D35">_xlfn.IFS(A35&lt;="F*",0,A35&lt;="M*",1,A35&lt;="Z*",2)</f>
        <v>0</v>
      </c>
      <c r="E35" s="3">
        <f t="shared" si="0"/>
        <v>4</v>
      </c>
      <c r="F35" s="3"/>
    </row>
    <row r="36" spans="1:6" ht="13.2" x14ac:dyDescent="0.25">
      <c r="A36" s="2" t="s">
        <v>55</v>
      </c>
      <c r="B36" s="5" t="s">
        <v>26</v>
      </c>
      <c r="C36" s="9" t="str">
        <f>SUBSTITUTE(B36,".",",")</f>
        <v>2,0</v>
      </c>
      <c r="D36" cm="1">
        <f t="array" ref="D36">_xlfn.IFS(A36&lt;="F*",0,A36&lt;="M*",1,A36&lt;="Z*",2)</f>
        <v>0</v>
      </c>
      <c r="E36" s="3">
        <f t="shared" si="0"/>
        <v>8</v>
      </c>
      <c r="F36" s="3"/>
    </row>
    <row r="37" spans="1:6" ht="13.2" x14ac:dyDescent="0.25">
      <c r="A37" s="2" t="s">
        <v>56</v>
      </c>
      <c r="B37" s="5" t="s">
        <v>28</v>
      </c>
      <c r="C37" s="9" t="str">
        <f>SUBSTITUTE(B37,".",",")</f>
        <v>3,0</v>
      </c>
      <c r="D37" cm="1">
        <f t="array" ref="D37">_xlfn.IFS(A37&lt;="F*",0,A37&lt;="M*",1,A37&lt;="Z*",2)</f>
        <v>1</v>
      </c>
      <c r="E37" s="3">
        <f t="shared" si="0"/>
        <v>9</v>
      </c>
      <c r="F37" s="3"/>
    </row>
    <row r="38" spans="1:6" ht="13.2" x14ac:dyDescent="0.25">
      <c r="A38" s="2" t="s">
        <v>57</v>
      </c>
      <c r="B38" s="5" t="s">
        <v>30</v>
      </c>
      <c r="C38" s="9" t="str">
        <f>SUBSTITUTE(B38,".",",")</f>
        <v>4,0</v>
      </c>
      <c r="D38" cm="1">
        <f t="array" ref="D38">_xlfn.IFS(A38&lt;="F*",0,A38&lt;="M*",1,A38&lt;="Z*",2)</f>
        <v>1</v>
      </c>
      <c r="E38" s="3">
        <f t="shared" si="0"/>
        <v>12</v>
      </c>
      <c r="F38" s="3"/>
    </row>
    <row r="39" spans="1:6" ht="13.2" x14ac:dyDescent="0.25">
      <c r="A39" s="2" t="s">
        <v>58</v>
      </c>
      <c r="B39" s="5" t="s">
        <v>32</v>
      </c>
      <c r="C39" s="9" t="str">
        <f>SUBSTITUTE(B39,".",",")</f>
        <v>5,0</v>
      </c>
      <c r="D39" cm="1">
        <f t="array" ref="D39">_xlfn.IFS(A39&lt;="F*",0,A39&lt;="M*",1,A39&lt;="Z*",2)</f>
        <v>1</v>
      </c>
      <c r="E39" s="3">
        <f t="shared" si="0"/>
        <v>15</v>
      </c>
      <c r="F39" s="3"/>
    </row>
    <row r="40" spans="1:6" ht="13.2" x14ac:dyDescent="0.25">
      <c r="A40" s="2" t="s">
        <v>59</v>
      </c>
      <c r="B40" s="5" t="s">
        <v>34</v>
      </c>
      <c r="C40" s="9" t="str">
        <f>SUBSTITUTE(B40,".",",")</f>
        <v>6,0</v>
      </c>
      <c r="D40" cm="1">
        <f t="array" ref="D40">_xlfn.IFS(A40&lt;="F*",0,A40&lt;="M*",1,A40&lt;="Z*",2)</f>
        <v>2</v>
      </c>
      <c r="E40" s="3">
        <f t="shared" si="0"/>
        <v>12</v>
      </c>
      <c r="F40" s="3"/>
    </row>
    <row r="41" spans="1:6" ht="13.2" x14ac:dyDescent="0.25">
      <c r="A41" s="2" t="s">
        <v>60</v>
      </c>
      <c r="B41" s="5" t="s">
        <v>36</v>
      </c>
      <c r="C41" s="9" t="str">
        <f>SUBSTITUTE(B41,".",",")</f>
        <v>7,0</v>
      </c>
      <c r="D41" cm="1">
        <f t="array" ref="D41">_xlfn.IFS(A41&lt;="F*",0,A41&lt;="M*",1,A41&lt;="Z*",2)</f>
        <v>2</v>
      </c>
      <c r="E41" s="3">
        <f t="shared" si="0"/>
        <v>14</v>
      </c>
      <c r="F41" s="3"/>
    </row>
    <row r="42" spans="1:6" ht="13.2" x14ac:dyDescent="0.25">
      <c r="A42" s="2" t="s">
        <v>61</v>
      </c>
      <c r="B42" s="5" t="s">
        <v>38</v>
      </c>
      <c r="C42" s="9" t="str">
        <f>SUBSTITUTE(B42,".",",")</f>
        <v>8,0</v>
      </c>
      <c r="D42" cm="1">
        <f t="array" ref="D42">_xlfn.IFS(A42&lt;="F*",0,A42&lt;="M*",1,A42&lt;="Z*",2)</f>
        <v>2</v>
      </c>
      <c r="E42" s="3">
        <f t="shared" si="0"/>
        <v>16</v>
      </c>
      <c r="F42" s="3"/>
    </row>
    <row r="43" spans="1:6" ht="13.2" x14ac:dyDescent="0.25">
      <c r="A43" s="2" t="s">
        <v>62</v>
      </c>
      <c r="B43" s="5" t="s">
        <v>40</v>
      </c>
      <c r="C43" s="9" t="str">
        <f>SUBSTITUTE(B43,".",",")</f>
        <v>9,0</v>
      </c>
      <c r="D43" cm="1">
        <f t="array" ref="D43">_xlfn.IFS(A43&lt;="F*",0,A43&lt;="M*",1,A43&lt;="Z*",2)</f>
        <v>2</v>
      </c>
      <c r="E43" s="3">
        <f t="shared" si="0"/>
        <v>18</v>
      </c>
      <c r="F43" s="3"/>
    </row>
    <row r="44" spans="1:6" ht="13.2" x14ac:dyDescent="0.25">
      <c r="A44" s="2" t="s">
        <v>7</v>
      </c>
      <c r="B44" s="5" t="s">
        <v>20</v>
      </c>
      <c r="C44" s="9" t="str">
        <f>SUBSTITUTE(B44,".",",")</f>
        <v>10,0</v>
      </c>
      <c r="D44" cm="1">
        <f t="array" ref="D44">_xlfn.IFS(A44&lt;="F*",0,A44&lt;="M*",1,A44&lt;="Z*",2)</f>
        <v>2</v>
      </c>
      <c r="E44" s="3">
        <f t="shared" si="0"/>
        <v>20</v>
      </c>
      <c r="F44" s="3"/>
    </row>
    <row r="45" spans="1:6" ht="13.2" x14ac:dyDescent="0.25">
      <c r="A45" s="2" t="s">
        <v>63</v>
      </c>
      <c r="B45" s="5" t="s">
        <v>22</v>
      </c>
      <c r="C45" s="9" t="str">
        <f>SUBSTITUTE(B45,".",",")</f>
        <v>0,5</v>
      </c>
      <c r="D45" cm="1">
        <f t="array" ref="D45">_xlfn.IFS(A45&lt;="F*",0,A45&lt;="M*",1,A45&lt;="Z*",2)</f>
        <v>2</v>
      </c>
      <c r="E45" s="3">
        <f t="shared" si="0"/>
        <v>1</v>
      </c>
      <c r="F45" s="3"/>
    </row>
    <row r="46" spans="1:6" ht="13.2" x14ac:dyDescent="0.25">
      <c r="A46" s="2" t="s">
        <v>64</v>
      </c>
      <c r="B46" s="5" t="s">
        <v>24</v>
      </c>
      <c r="C46" s="9" t="str">
        <f>SUBSTITUTE(B46,".",",")</f>
        <v>1,0</v>
      </c>
      <c r="D46" cm="1">
        <f t="array" ref="D46">_xlfn.IFS(A46&lt;="F*",0,A46&lt;="M*",1,A46&lt;="Z*",2)</f>
        <v>2</v>
      </c>
      <c r="E46" s="3">
        <f t="shared" si="0"/>
        <v>2</v>
      </c>
      <c r="F46" s="3"/>
    </row>
    <row r="47" spans="1:6" ht="13.2" x14ac:dyDescent="0.25">
      <c r="A47" s="2" t="s">
        <v>65</v>
      </c>
      <c r="B47" s="5" t="s">
        <v>26</v>
      </c>
      <c r="C47" s="9" t="str">
        <f>SUBSTITUTE(B47,".",",")</f>
        <v>2,0</v>
      </c>
      <c r="D47" cm="1">
        <f t="array" ref="D47">_xlfn.IFS(A47&lt;="F*",0,A47&lt;="M*",1,A47&lt;="Z*",2)</f>
        <v>0</v>
      </c>
      <c r="E47" s="3">
        <f t="shared" si="0"/>
        <v>8</v>
      </c>
      <c r="F47" s="3"/>
    </row>
    <row r="48" spans="1:6" ht="13.2" x14ac:dyDescent="0.25">
      <c r="A48" s="2" t="s">
        <v>66</v>
      </c>
      <c r="B48" s="5" t="s">
        <v>28</v>
      </c>
      <c r="C48" s="9" t="str">
        <f>SUBSTITUTE(B48,".",",")</f>
        <v>3,0</v>
      </c>
      <c r="D48" cm="1">
        <f t="array" ref="D48">_xlfn.IFS(A48&lt;="F*",0,A48&lt;="M*",1,A48&lt;="Z*",2)</f>
        <v>0</v>
      </c>
      <c r="E48" s="3">
        <f t="shared" si="0"/>
        <v>12</v>
      </c>
      <c r="F48" s="3"/>
    </row>
    <row r="49" spans="1:6" ht="13.2" x14ac:dyDescent="0.25">
      <c r="A49" s="2" t="s">
        <v>67</v>
      </c>
      <c r="B49" s="5" t="s">
        <v>30</v>
      </c>
      <c r="C49" s="9" t="str">
        <f>SUBSTITUTE(B49,".",",")</f>
        <v>4,0</v>
      </c>
      <c r="D49" cm="1">
        <f t="array" ref="D49">_xlfn.IFS(A49&lt;="F*",0,A49&lt;="M*",1,A49&lt;="Z*",2)</f>
        <v>0</v>
      </c>
      <c r="E49" s="3">
        <f t="shared" si="0"/>
        <v>16</v>
      </c>
      <c r="F49" s="3"/>
    </row>
    <row r="50" spans="1:6" ht="13.2" x14ac:dyDescent="0.25">
      <c r="A50" s="2" t="s">
        <v>68</v>
      </c>
      <c r="B50" s="5" t="s">
        <v>32</v>
      </c>
      <c r="C50" s="9" t="str">
        <f>SUBSTITUTE(B50,".",",")</f>
        <v>5,0</v>
      </c>
      <c r="D50" cm="1">
        <f t="array" ref="D50">_xlfn.IFS(A50&lt;="F*",0,A50&lt;="M*",1,A50&lt;="Z*",2)</f>
        <v>1</v>
      </c>
      <c r="E50" s="3">
        <f t="shared" si="0"/>
        <v>15</v>
      </c>
      <c r="F50" s="3"/>
    </row>
    <row r="51" spans="1:6" ht="13.2" x14ac:dyDescent="0.25">
      <c r="A51" s="2" t="s">
        <v>69</v>
      </c>
      <c r="B51" s="5" t="s">
        <v>34</v>
      </c>
      <c r="C51" s="9" t="str">
        <f>SUBSTITUTE(B51,".",",")</f>
        <v>6,0</v>
      </c>
      <c r="D51" cm="1">
        <f t="array" ref="D51">_xlfn.IFS(A51&lt;="F*",0,A51&lt;="M*",1,A51&lt;="Z*",2)</f>
        <v>1</v>
      </c>
      <c r="E51" s="3">
        <f t="shared" si="0"/>
        <v>18</v>
      </c>
      <c r="F51" s="3"/>
    </row>
    <row r="52" spans="1:6" ht="13.2" x14ac:dyDescent="0.25">
      <c r="A52" s="2" t="s">
        <v>70</v>
      </c>
      <c r="B52" s="5" t="s">
        <v>36</v>
      </c>
      <c r="C52" s="9" t="str">
        <f>SUBSTITUTE(B52,".",",")</f>
        <v>7,0</v>
      </c>
      <c r="D52" cm="1">
        <f t="array" ref="D52">_xlfn.IFS(A52&lt;="F*",0,A52&lt;="M*",1,A52&lt;="Z*",2)</f>
        <v>1</v>
      </c>
      <c r="E52" s="3">
        <f t="shared" si="0"/>
        <v>21</v>
      </c>
      <c r="F52" s="3"/>
    </row>
    <row r="53" spans="1:6" ht="13.2" x14ac:dyDescent="0.25">
      <c r="A53" s="2" t="s">
        <v>71</v>
      </c>
      <c r="B53" s="5" t="s">
        <v>38</v>
      </c>
      <c r="C53" s="9" t="str">
        <f>SUBSTITUTE(B53,".",",")</f>
        <v>8,0</v>
      </c>
      <c r="D53" cm="1">
        <f t="array" ref="D53">_xlfn.IFS(A53&lt;="F*",0,A53&lt;="M*",1,A53&lt;="Z*",2)</f>
        <v>2</v>
      </c>
      <c r="E53" s="3">
        <f t="shared" si="0"/>
        <v>16</v>
      </c>
      <c r="F53" s="3"/>
    </row>
    <row r="54" spans="1:6" ht="13.2" x14ac:dyDescent="0.25">
      <c r="A54" s="2" t="s">
        <v>72</v>
      </c>
      <c r="B54" s="5" t="s">
        <v>40</v>
      </c>
      <c r="C54" s="9" t="str">
        <f>SUBSTITUTE(B54,".",",")</f>
        <v>9,0</v>
      </c>
      <c r="D54" cm="1">
        <f t="array" ref="D54">_xlfn.IFS(A54&lt;="F*",0,A54&lt;="M*",1,A54&lt;="Z*",2)</f>
        <v>2</v>
      </c>
      <c r="E54" s="3">
        <f t="shared" si="0"/>
        <v>18</v>
      </c>
      <c r="F54" s="3"/>
    </row>
    <row r="55" spans="1:6" ht="13.2" x14ac:dyDescent="0.25">
      <c r="A55" s="2" t="s">
        <v>73</v>
      </c>
      <c r="B55" s="5" t="s">
        <v>20</v>
      </c>
      <c r="C55" s="9" t="str">
        <f>SUBSTITUTE(B55,".",",")</f>
        <v>10,0</v>
      </c>
      <c r="D55" cm="1">
        <f t="array" ref="D55">_xlfn.IFS(A55&lt;="F*",0,A55&lt;="M*",1,A55&lt;="Z*",2)</f>
        <v>2</v>
      </c>
      <c r="E55" s="3">
        <f t="shared" si="0"/>
        <v>20</v>
      </c>
      <c r="F55" s="3"/>
    </row>
    <row r="56" spans="1:6" ht="13.2" x14ac:dyDescent="0.25">
      <c r="A56" s="2" t="s">
        <v>74</v>
      </c>
      <c r="B56" s="5" t="s">
        <v>22</v>
      </c>
      <c r="C56" s="9" t="str">
        <f>SUBSTITUTE(B56,".",",")</f>
        <v>0,5</v>
      </c>
      <c r="D56" cm="1">
        <f t="array" ref="D56">_xlfn.IFS(A56&lt;="F*",0,A56&lt;="M*",1,A56&lt;="Z*",2)</f>
        <v>2</v>
      </c>
      <c r="E56" s="3">
        <f t="shared" si="0"/>
        <v>1</v>
      </c>
      <c r="F56" s="3"/>
    </row>
    <row r="57" spans="1:6" ht="13.2" x14ac:dyDescent="0.25">
      <c r="A57" s="2" t="s">
        <v>75</v>
      </c>
      <c r="B57" s="5" t="s">
        <v>24</v>
      </c>
      <c r="C57" s="9" t="str">
        <f>SUBSTITUTE(B57,".",",")</f>
        <v>1,0</v>
      </c>
      <c r="D57" cm="1">
        <f t="array" ref="D57">_xlfn.IFS(A57&lt;="F*",0,A57&lt;="M*",1,A57&lt;="Z*",2)</f>
        <v>2</v>
      </c>
      <c r="E57" s="3">
        <f t="shared" si="0"/>
        <v>2</v>
      </c>
      <c r="F57" s="3"/>
    </row>
    <row r="58" spans="1:6" ht="13.2" x14ac:dyDescent="0.25">
      <c r="A58" s="2" t="s">
        <v>76</v>
      </c>
      <c r="B58" s="5" t="s">
        <v>26</v>
      </c>
      <c r="C58" s="9" t="str">
        <f>SUBSTITUTE(B58,".",",")</f>
        <v>2,0</v>
      </c>
      <c r="D58" cm="1">
        <f t="array" ref="D58">_xlfn.IFS(A58&lt;="F*",0,A58&lt;="M*",1,A58&lt;="Z*",2)</f>
        <v>2</v>
      </c>
      <c r="E58" s="3">
        <f t="shared" si="0"/>
        <v>4</v>
      </c>
      <c r="F58" s="3"/>
    </row>
    <row r="59" spans="1:6" ht="13.2" x14ac:dyDescent="0.25">
      <c r="A59" s="2" t="s">
        <v>77</v>
      </c>
      <c r="B59" s="5" t="s">
        <v>28</v>
      </c>
      <c r="C59" s="9" t="str">
        <f>SUBSTITUTE(B59,".",",")</f>
        <v>3,0</v>
      </c>
      <c r="D59" cm="1">
        <f t="array" ref="D59">_xlfn.IFS(A59&lt;="F*",0,A59&lt;="M*",1,A59&lt;="Z*",2)</f>
        <v>2</v>
      </c>
      <c r="E59" s="3">
        <f t="shared" si="0"/>
        <v>6</v>
      </c>
      <c r="F59" s="3"/>
    </row>
    <row r="60" spans="1:6" ht="13.2" x14ac:dyDescent="0.25">
      <c r="A60" s="2" t="s">
        <v>78</v>
      </c>
      <c r="B60" s="5" t="s">
        <v>30</v>
      </c>
      <c r="C60" s="9" t="str">
        <f>SUBSTITUTE(B60,".",",")</f>
        <v>4,0</v>
      </c>
      <c r="D60" cm="1">
        <f t="array" ref="D60">_xlfn.IFS(A60&lt;="F*",0,A60&lt;="M*",1,A60&lt;="Z*",2)</f>
        <v>0</v>
      </c>
      <c r="E60" s="3">
        <f t="shared" si="0"/>
        <v>16</v>
      </c>
      <c r="F60" s="3"/>
    </row>
    <row r="61" spans="1:6" ht="13.2" x14ac:dyDescent="0.25">
      <c r="A61" s="2" t="s">
        <v>79</v>
      </c>
      <c r="B61" s="5" t="s">
        <v>32</v>
      </c>
      <c r="C61" s="9" t="str">
        <f>SUBSTITUTE(B61,".",",")</f>
        <v>5,0</v>
      </c>
      <c r="D61" cm="1">
        <f t="array" ref="D61">_xlfn.IFS(A61&lt;="F*",0,A61&lt;="M*",1,A61&lt;="Z*",2)</f>
        <v>0</v>
      </c>
      <c r="E61" s="3">
        <f t="shared" si="0"/>
        <v>20</v>
      </c>
      <c r="F61" s="3"/>
    </row>
    <row r="62" spans="1:6" ht="13.2" x14ac:dyDescent="0.25">
      <c r="A62" s="2" t="s">
        <v>80</v>
      </c>
      <c r="B62" s="5" t="s">
        <v>34</v>
      </c>
      <c r="C62" s="9" t="str">
        <f>SUBSTITUTE(B62,".",",")</f>
        <v>6,0</v>
      </c>
      <c r="D62" cm="1">
        <f t="array" ref="D62">_xlfn.IFS(A62&lt;="F*",0,A62&lt;="M*",1,A62&lt;="Z*",2)</f>
        <v>0</v>
      </c>
      <c r="E62" s="3">
        <f t="shared" si="0"/>
        <v>24</v>
      </c>
      <c r="F62" s="3"/>
    </row>
    <row r="63" spans="1:6" ht="13.2" x14ac:dyDescent="0.25">
      <c r="A63" s="2" t="s">
        <v>81</v>
      </c>
      <c r="B63" s="5" t="s">
        <v>36</v>
      </c>
      <c r="C63" s="9" t="str">
        <f>SUBSTITUTE(B63,".",",")</f>
        <v>7,0</v>
      </c>
      <c r="D63" cm="1">
        <f t="array" ref="D63">_xlfn.IFS(A63&lt;="F*",0,A63&lt;="M*",1,A63&lt;="Z*",2)</f>
        <v>1</v>
      </c>
      <c r="E63" s="3">
        <f t="shared" si="0"/>
        <v>21</v>
      </c>
      <c r="F63" s="3"/>
    </row>
    <row r="64" spans="1:6" ht="13.2" x14ac:dyDescent="0.25">
      <c r="A64" s="2" t="s">
        <v>82</v>
      </c>
      <c r="B64" s="5" t="s">
        <v>38</v>
      </c>
      <c r="C64" s="9" t="str">
        <f>SUBSTITUTE(B64,".",",")</f>
        <v>8,0</v>
      </c>
      <c r="D64" cm="1">
        <f t="array" ref="D64">_xlfn.IFS(A64&lt;="F*",0,A64&lt;="M*",1,A64&lt;="Z*",2)</f>
        <v>1</v>
      </c>
      <c r="E64" s="3">
        <f t="shared" si="0"/>
        <v>24</v>
      </c>
      <c r="F64" s="3"/>
    </row>
    <row r="65" spans="1:6" ht="13.2" x14ac:dyDescent="0.25">
      <c r="A65" s="2" t="s">
        <v>83</v>
      </c>
      <c r="B65" s="5" t="s">
        <v>40</v>
      </c>
      <c r="C65" s="9" t="str">
        <f>SUBSTITUTE(B65,".",",")</f>
        <v>9,0</v>
      </c>
      <c r="D65" cm="1">
        <f t="array" ref="D65">_xlfn.IFS(A65&lt;="F*",0,A65&lt;="M*",1,A65&lt;="Z*",2)</f>
        <v>1</v>
      </c>
      <c r="E65" s="3">
        <f t="shared" si="0"/>
        <v>27</v>
      </c>
      <c r="F65" s="3"/>
    </row>
    <row r="66" spans="1:6" ht="13.2" x14ac:dyDescent="0.25">
      <c r="A66" s="2" t="s">
        <v>84</v>
      </c>
      <c r="B66" s="5" t="s">
        <v>20</v>
      </c>
      <c r="C66" s="9" t="str">
        <f>SUBSTITUTE(B66,".",",")</f>
        <v>10,0</v>
      </c>
      <c r="D66" cm="1">
        <f t="array" ref="D66">_xlfn.IFS(A66&lt;="F*",0,A66&lt;="M*",1,A66&lt;="Z*",2)</f>
        <v>2</v>
      </c>
      <c r="E66" s="3">
        <f t="shared" si="0"/>
        <v>20</v>
      </c>
      <c r="F66" s="3"/>
    </row>
    <row r="67" spans="1:6" ht="13.2" x14ac:dyDescent="0.25">
      <c r="A67" s="2" t="s">
        <v>85</v>
      </c>
      <c r="B67" s="5" t="s">
        <v>22</v>
      </c>
      <c r="C67" s="9" t="str">
        <f>SUBSTITUTE(B67,".",",")</f>
        <v>0,5</v>
      </c>
      <c r="D67" cm="1">
        <f t="array" ref="D67">_xlfn.IFS(A67&lt;="F*",0,A67&lt;="M*",1,A67&lt;="Z*",2)</f>
        <v>2</v>
      </c>
      <c r="E67" s="3">
        <f t="shared" ref="E67:E101" si="1">VLOOKUP(D67,$G$2:$H$4,2,FALSE)*(C67/$I$2)</f>
        <v>1</v>
      </c>
      <c r="F67" s="3"/>
    </row>
    <row r="68" spans="1:6" ht="13.2" x14ac:dyDescent="0.25">
      <c r="A68" s="2" t="s">
        <v>86</v>
      </c>
      <c r="B68" s="5" t="s">
        <v>24</v>
      </c>
      <c r="C68" s="9" t="str">
        <f>SUBSTITUTE(B68,".",",")</f>
        <v>1,0</v>
      </c>
      <c r="D68" cm="1">
        <f t="array" ref="D68">_xlfn.IFS(A68&lt;="F*",0,A68&lt;="M*",1,A68&lt;="Z*",2)</f>
        <v>2</v>
      </c>
      <c r="E68" s="3">
        <f t="shared" si="1"/>
        <v>2</v>
      </c>
      <c r="F68" s="3"/>
    </row>
    <row r="69" spans="1:6" ht="13.2" x14ac:dyDescent="0.25">
      <c r="A69" s="2" t="s">
        <v>87</v>
      </c>
      <c r="B69" s="5" t="s">
        <v>26</v>
      </c>
      <c r="C69" s="9" t="str">
        <f>SUBSTITUTE(B69,".",",")</f>
        <v>2,0</v>
      </c>
      <c r="D69" cm="1">
        <f t="array" ref="D69">_xlfn.IFS(A69&lt;="F*",0,A69&lt;="M*",1,A69&lt;="Z*",2)</f>
        <v>2</v>
      </c>
      <c r="E69" s="3">
        <f t="shared" si="1"/>
        <v>4</v>
      </c>
      <c r="F69" s="3"/>
    </row>
    <row r="70" spans="1:6" ht="13.2" x14ac:dyDescent="0.25">
      <c r="A70" s="2" t="s">
        <v>88</v>
      </c>
      <c r="B70" s="5" t="s">
        <v>28</v>
      </c>
      <c r="C70" s="9" t="str">
        <f>SUBSTITUTE(B70,".",",")</f>
        <v>3,0</v>
      </c>
      <c r="D70" cm="1">
        <f t="array" ref="D70">_xlfn.IFS(A70&lt;="F*",0,A70&lt;="M*",1,A70&lt;="Z*",2)</f>
        <v>2</v>
      </c>
      <c r="E70" s="3">
        <f t="shared" si="1"/>
        <v>6</v>
      </c>
      <c r="F70" s="3"/>
    </row>
    <row r="71" spans="1:6" ht="13.2" x14ac:dyDescent="0.25">
      <c r="A71" s="2" t="s">
        <v>89</v>
      </c>
      <c r="B71" s="5" t="s">
        <v>30</v>
      </c>
      <c r="C71" s="9" t="str">
        <f>SUBSTITUTE(B71,".",",")</f>
        <v>4,0</v>
      </c>
      <c r="D71" cm="1">
        <f t="array" ref="D71">_xlfn.IFS(A71&lt;="F*",0,A71&lt;="M*",1,A71&lt;="Z*",2)</f>
        <v>2</v>
      </c>
      <c r="E71" s="3">
        <f t="shared" si="1"/>
        <v>8</v>
      </c>
      <c r="F71" s="3"/>
    </row>
    <row r="72" spans="1:6" ht="13.2" x14ac:dyDescent="0.25">
      <c r="A72" s="2" t="s">
        <v>90</v>
      </c>
      <c r="B72" s="5" t="s">
        <v>32</v>
      </c>
      <c r="C72" s="9" t="str">
        <f>SUBSTITUTE(B72,".",",")</f>
        <v>5,0</v>
      </c>
      <c r="D72" cm="1">
        <f t="array" ref="D72">_xlfn.IFS(A72&lt;="F*",0,A72&lt;="M*",1,A72&lt;="Z*",2)</f>
        <v>2</v>
      </c>
      <c r="E72" s="3">
        <f t="shared" si="1"/>
        <v>10</v>
      </c>
      <c r="F72" s="3"/>
    </row>
    <row r="73" spans="1:6" ht="13.2" x14ac:dyDescent="0.25">
      <c r="A73" s="2" t="s">
        <v>91</v>
      </c>
      <c r="B73" s="5" t="s">
        <v>34</v>
      </c>
      <c r="C73" s="9" t="str">
        <f>SUBSTITUTE(B73,".",",")</f>
        <v>6,0</v>
      </c>
      <c r="D73" cm="1">
        <f t="array" ref="D73">_xlfn.IFS(A73&lt;="F*",0,A73&lt;="M*",1,A73&lt;="Z*",2)</f>
        <v>0</v>
      </c>
      <c r="E73" s="3">
        <f t="shared" si="1"/>
        <v>24</v>
      </c>
      <c r="F73" s="3"/>
    </row>
    <row r="74" spans="1:6" ht="13.2" x14ac:dyDescent="0.25">
      <c r="A74" s="2" t="s">
        <v>92</v>
      </c>
      <c r="B74" s="5" t="s">
        <v>36</v>
      </c>
      <c r="C74" s="9" t="str">
        <f>SUBSTITUTE(B74,".",",")</f>
        <v>7,0</v>
      </c>
      <c r="D74" cm="1">
        <f t="array" ref="D74">_xlfn.IFS(A74&lt;="F*",0,A74&lt;="M*",1,A74&lt;="Z*",2)</f>
        <v>0</v>
      </c>
      <c r="E74" s="3">
        <f t="shared" si="1"/>
        <v>28</v>
      </c>
      <c r="F74" s="3"/>
    </row>
    <row r="75" spans="1:6" ht="13.2" x14ac:dyDescent="0.25">
      <c r="A75" s="2" t="s">
        <v>93</v>
      </c>
      <c r="B75" s="5" t="s">
        <v>38</v>
      </c>
      <c r="C75" s="9" t="str">
        <f>SUBSTITUTE(B75,".",",")</f>
        <v>8,0</v>
      </c>
      <c r="D75" cm="1">
        <f t="array" ref="D75">_xlfn.IFS(A75&lt;="F*",0,A75&lt;="M*",1,A75&lt;="Z*",2)</f>
        <v>0</v>
      </c>
      <c r="E75" s="3">
        <f t="shared" si="1"/>
        <v>32</v>
      </c>
      <c r="F75" s="3"/>
    </row>
    <row r="76" spans="1:6" ht="13.2" x14ac:dyDescent="0.25">
      <c r="A76" s="2" t="s">
        <v>94</v>
      </c>
      <c r="B76" s="5" t="s">
        <v>40</v>
      </c>
      <c r="C76" s="9" t="str">
        <f>SUBSTITUTE(B76,".",",")</f>
        <v>9,0</v>
      </c>
      <c r="D76" cm="1">
        <f t="array" ref="D76">_xlfn.IFS(A76&lt;="F*",0,A76&lt;="M*",1,A76&lt;="Z*",2)</f>
        <v>1</v>
      </c>
      <c r="E76" s="3">
        <f t="shared" si="1"/>
        <v>27</v>
      </c>
      <c r="F76" s="3"/>
    </row>
    <row r="77" spans="1:6" ht="13.2" x14ac:dyDescent="0.25">
      <c r="A77" s="2" t="s">
        <v>95</v>
      </c>
      <c r="B77" s="5" t="s">
        <v>20</v>
      </c>
      <c r="C77" s="9" t="str">
        <f>SUBSTITUTE(B77,".",",")</f>
        <v>10,0</v>
      </c>
      <c r="D77" cm="1">
        <f t="array" ref="D77">_xlfn.IFS(A77&lt;="F*",0,A77&lt;="M*",1,A77&lt;="Z*",2)</f>
        <v>1</v>
      </c>
      <c r="E77" s="3">
        <f t="shared" si="1"/>
        <v>30</v>
      </c>
      <c r="F77" s="3"/>
    </row>
    <row r="78" spans="1:6" ht="13.2" x14ac:dyDescent="0.25">
      <c r="A78" s="2" t="s">
        <v>96</v>
      </c>
      <c r="B78" s="5" t="s">
        <v>22</v>
      </c>
      <c r="C78" s="9" t="str">
        <f>SUBSTITUTE(B78,".",",")</f>
        <v>0,5</v>
      </c>
      <c r="D78" cm="1">
        <f t="array" ref="D78">_xlfn.IFS(A78&lt;="F*",0,A78&lt;="M*",1,A78&lt;="Z*",2)</f>
        <v>1</v>
      </c>
      <c r="E78" s="3">
        <f t="shared" si="1"/>
        <v>1.5</v>
      </c>
      <c r="F78" s="3"/>
    </row>
    <row r="79" spans="1:6" ht="13.2" x14ac:dyDescent="0.25">
      <c r="A79" s="2" t="s">
        <v>97</v>
      </c>
      <c r="B79" s="5" t="s">
        <v>24</v>
      </c>
      <c r="C79" s="9" t="str">
        <f>SUBSTITUTE(B79,".",",")</f>
        <v>1,0</v>
      </c>
      <c r="D79" cm="1">
        <f t="array" ref="D79">_xlfn.IFS(A79&lt;="F*",0,A79&lt;="M*",1,A79&lt;="Z*",2)</f>
        <v>2</v>
      </c>
      <c r="E79" s="3">
        <f t="shared" si="1"/>
        <v>2</v>
      </c>
      <c r="F79" s="3"/>
    </row>
    <row r="80" spans="1:6" ht="13.2" x14ac:dyDescent="0.25">
      <c r="A80" s="2" t="s">
        <v>98</v>
      </c>
      <c r="B80" s="5" t="s">
        <v>26</v>
      </c>
      <c r="C80" s="9" t="str">
        <f>SUBSTITUTE(B80,".",",")</f>
        <v>2,0</v>
      </c>
      <c r="D80" cm="1">
        <f t="array" ref="D80">_xlfn.IFS(A80&lt;="F*",0,A80&lt;="M*",1,A80&lt;="Z*",2)</f>
        <v>2</v>
      </c>
      <c r="E80" s="3">
        <f t="shared" si="1"/>
        <v>4</v>
      </c>
      <c r="F80" s="3"/>
    </row>
    <row r="81" spans="1:6" ht="13.2" x14ac:dyDescent="0.25">
      <c r="A81" s="2" t="s">
        <v>99</v>
      </c>
      <c r="B81" s="5" t="s">
        <v>28</v>
      </c>
      <c r="C81" s="9" t="str">
        <f>SUBSTITUTE(B81,".",",")</f>
        <v>3,0</v>
      </c>
      <c r="D81" cm="1">
        <f t="array" ref="D81">_xlfn.IFS(A81&lt;="F*",0,A81&lt;="M*",1,A81&lt;="Z*",2)</f>
        <v>2</v>
      </c>
      <c r="E81" s="3">
        <f t="shared" si="1"/>
        <v>6</v>
      </c>
      <c r="F81" s="3"/>
    </row>
    <row r="82" spans="1:6" ht="13.2" x14ac:dyDescent="0.25">
      <c r="A82" s="2" t="s">
        <v>100</v>
      </c>
      <c r="B82" s="5" t="s">
        <v>30</v>
      </c>
      <c r="C82" s="9" t="str">
        <f>SUBSTITUTE(B82,".",",")</f>
        <v>4,0</v>
      </c>
      <c r="D82" cm="1">
        <f t="array" ref="D82">_xlfn.IFS(A82&lt;="F*",0,A82&lt;="M*",1,A82&lt;="Z*",2)</f>
        <v>2</v>
      </c>
      <c r="E82" s="3">
        <f t="shared" si="1"/>
        <v>8</v>
      </c>
      <c r="F82" s="3"/>
    </row>
    <row r="83" spans="1:6" ht="13.2" x14ac:dyDescent="0.25">
      <c r="A83" s="2" t="s">
        <v>101</v>
      </c>
      <c r="B83" s="5" t="s">
        <v>32</v>
      </c>
      <c r="C83" s="9" t="str">
        <f>SUBSTITUTE(B83,".",",")</f>
        <v>5,0</v>
      </c>
      <c r="D83" cm="1">
        <f t="array" ref="D83">_xlfn.IFS(A83&lt;="F*",0,A83&lt;="M*",1,A83&lt;="Z*",2)</f>
        <v>2</v>
      </c>
      <c r="E83" s="3">
        <f t="shared" si="1"/>
        <v>10</v>
      </c>
      <c r="F83" s="3"/>
    </row>
    <row r="84" spans="1:6" ht="13.2" x14ac:dyDescent="0.25">
      <c r="A84" s="2" t="s">
        <v>102</v>
      </c>
      <c r="B84" s="5" t="s">
        <v>34</v>
      </c>
      <c r="C84" s="9" t="str">
        <f>SUBSTITUTE(B84,".",",")</f>
        <v>6,0</v>
      </c>
      <c r="D84" cm="1">
        <f t="array" ref="D84">_xlfn.IFS(A84&lt;="F*",0,A84&lt;="M*",1,A84&lt;="Z*",2)</f>
        <v>2</v>
      </c>
      <c r="E84" s="3">
        <f t="shared" si="1"/>
        <v>12</v>
      </c>
      <c r="F84" s="3"/>
    </row>
    <row r="85" spans="1:6" ht="13.2" x14ac:dyDescent="0.25">
      <c r="A85" s="2" t="s">
        <v>103</v>
      </c>
      <c r="B85" s="5" t="s">
        <v>36</v>
      </c>
      <c r="C85" s="9" t="str">
        <f>SUBSTITUTE(B85,".",",")</f>
        <v>7,0</v>
      </c>
      <c r="D85" cm="1">
        <f t="array" ref="D85">_xlfn.IFS(A85&lt;="F*",0,A85&lt;="M*",1,A85&lt;="Z*",2)</f>
        <v>2</v>
      </c>
      <c r="E85" s="3">
        <f t="shared" si="1"/>
        <v>14</v>
      </c>
      <c r="F85" s="3"/>
    </row>
    <row r="86" spans="1:6" ht="13.2" x14ac:dyDescent="0.25">
      <c r="A86" s="2" t="s">
        <v>104</v>
      </c>
      <c r="B86" s="5" t="s">
        <v>38</v>
      </c>
      <c r="C86" s="9" t="str">
        <f>SUBSTITUTE(B86,".",",")</f>
        <v>8,0</v>
      </c>
      <c r="D86" cm="1">
        <f t="array" ref="D86">_xlfn.IFS(A86&lt;="F*",0,A86&lt;="M*",1,A86&lt;="Z*",2)</f>
        <v>0</v>
      </c>
      <c r="E86" s="3">
        <f t="shared" si="1"/>
        <v>32</v>
      </c>
      <c r="F86" s="3"/>
    </row>
    <row r="87" spans="1:6" ht="13.2" x14ac:dyDescent="0.25">
      <c r="A87" s="2" t="s">
        <v>105</v>
      </c>
      <c r="B87" s="5" t="s">
        <v>40</v>
      </c>
      <c r="C87" s="9" t="str">
        <f>SUBSTITUTE(B87,".",",")</f>
        <v>9,0</v>
      </c>
      <c r="D87" cm="1">
        <f t="array" ref="D87">_xlfn.IFS(A87&lt;="F*",0,A87&lt;="M*",1,A87&lt;="Z*",2)</f>
        <v>0</v>
      </c>
      <c r="E87" s="3">
        <f t="shared" si="1"/>
        <v>36</v>
      </c>
      <c r="F87" s="3"/>
    </row>
    <row r="88" spans="1:6" ht="13.2" x14ac:dyDescent="0.25">
      <c r="A88" s="2" t="s">
        <v>106</v>
      </c>
      <c r="B88" s="5" t="s">
        <v>20</v>
      </c>
      <c r="C88" s="9" t="str">
        <f>SUBSTITUTE(B88,".",",")</f>
        <v>10,0</v>
      </c>
      <c r="D88" cm="1">
        <f t="array" ref="D88">_xlfn.IFS(A88&lt;="F*",0,A88&lt;="M*",1,A88&lt;="Z*",2)</f>
        <v>0</v>
      </c>
      <c r="E88" s="3">
        <f t="shared" si="1"/>
        <v>40</v>
      </c>
      <c r="F88" s="3"/>
    </row>
    <row r="89" spans="1:6" ht="13.2" x14ac:dyDescent="0.25">
      <c r="A89" s="2" t="s">
        <v>107</v>
      </c>
      <c r="B89" s="5" t="s">
        <v>22</v>
      </c>
      <c r="C89" s="9" t="str">
        <f>SUBSTITUTE(B89,".",",")</f>
        <v>0,5</v>
      </c>
      <c r="D89" cm="1">
        <f t="array" ref="D89">_xlfn.IFS(A89&lt;="F*",0,A89&lt;="M*",1,A89&lt;="Z*",2)</f>
        <v>1</v>
      </c>
      <c r="E89" s="3">
        <f t="shared" si="1"/>
        <v>1.5</v>
      </c>
      <c r="F89" s="3"/>
    </row>
    <row r="90" spans="1:6" ht="13.2" x14ac:dyDescent="0.25">
      <c r="A90" s="2" t="s">
        <v>108</v>
      </c>
      <c r="B90" s="5" t="s">
        <v>24</v>
      </c>
      <c r="C90" s="9" t="str">
        <f>SUBSTITUTE(B90,".",",")</f>
        <v>1,0</v>
      </c>
      <c r="D90" cm="1">
        <f t="array" ref="D90">_xlfn.IFS(A90&lt;="F*",0,A90&lt;="M*",1,A90&lt;="Z*",2)</f>
        <v>1</v>
      </c>
      <c r="E90" s="3">
        <f t="shared" si="1"/>
        <v>3</v>
      </c>
      <c r="F90" s="3"/>
    </row>
    <row r="91" spans="1:6" ht="13.2" x14ac:dyDescent="0.25">
      <c r="A91" s="2" t="s">
        <v>109</v>
      </c>
      <c r="B91" s="5" t="s">
        <v>26</v>
      </c>
      <c r="C91" s="9" t="str">
        <f>SUBSTITUTE(B91,".",",")</f>
        <v>2,0</v>
      </c>
      <c r="D91" cm="1">
        <f t="array" ref="D91">_xlfn.IFS(A91&lt;="F*",0,A91&lt;="M*",1,A91&lt;="Z*",2)</f>
        <v>1</v>
      </c>
      <c r="E91" s="3">
        <f t="shared" si="1"/>
        <v>6</v>
      </c>
      <c r="F91" s="3"/>
    </row>
    <row r="92" spans="1:6" ht="13.2" x14ac:dyDescent="0.25">
      <c r="A92" s="2" t="s">
        <v>110</v>
      </c>
      <c r="B92" s="5" t="s">
        <v>28</v>
      </c>
      <c r="C92" s="9" t="str">
        <f>SUBSTITUTE(B92,".",",")</f>
        <v>3,0</v>
      </c>
      <c r="D92" cm="1">
        <f t="array" ref="D92">_xlfn.IFS(A92&lt;="F*",0,A92&lt;="M*",1,A92&lt;="Z*",2)</f>
        <v>2</v>
      </c>
      <c r="E92" s="3">
        <f t="shared" si="1"/>
        <v>6</v>
      </c>
      <c r="F92" s="3"/>
    </row>
    <row r="93" spans="1:6" ht="13.2" x14ac:dyDescent="0.25">
      <c r="A93" s="2" t="s">
        <v>111</v>
      </c>
      <c r="B93" s="5" t="s">
        <v>30</v>
      </c>
      <c r="C93" s="9" t="str">
        <f>SUBSTITUTE(B93,".",",")</f>
        <v>4,0</v>
      </c>
      <c r="D93" cm="1">
        <f t="array" ref="D93">_xlfn.IFS(A93&lt;="F*",0,A93&lt;="M*",1,A93&lt;="Z*",2)</f>
        <v>2</v>
      </c>
      <c r="E93" s="3">
        <f t="shared" si="1"/>
        <v>8</v>
      </c>
      <c r="F93" s="3"/>
    </row>
    <row r="94" spans="1:6" ht="13.2" x14ac:dyDescent="0.25">
      <c r="A94" s="2" t="s">
        <v>112</v>
      </c>
      <c r="B94" s="5" t="s">
        <v>32</v>
      </c>
      <c r="C94" s="9" t="str">
        <f>SUBSTITUTE(B94,".",",")</f>
        <v>5,0</v>
      </c>
      <c r="D94" cm="1">
        <f t="array" ref="D94">_xlfn.IFS(A94&lt;="F*",0,A94&lt;="M*",1,A94&lt;="Z*",2)</f>
        <v>2</v>
      </c>
      <c r="E94" s="3">
        <f t="shared" si="1"/>
        <v>10</v>
      </c>
      <c r="F94" s="3"/>
    </row>
    <row r="95" spans="1:6" ht="13.2" x14ac:dyDescent="0.25">
      <c r="A95" s="2" t="s">
        <v>113</v>
      </c>
      <c r="B95" s="5" t="s">
        <v>34</v>
      </c>
      <c r="C95" s="9" t="str">
        <f>SUBSTITUTE(B95,".",",")</f>
        <v>6,0</v>
      </c>
      <c r="D95" cm="1">
        <f t="array" ref="D95">_xlfn.IFS(A95&lt;="F*",0,A95&lt;="M*",1,A95&lt;="Z*",2)</f>
        <v>2</v>
      </c>
      <c r="E95" s="3">
        <f t="shared" si="1"/>
        <v>12</v>
      </c>
      <c r="F95" s="3"/>
    </row>
    <row r="96" spans="1:6" ht="13.2" x14ac:dyDescent="0.25">
      <c r="A96" s="2" t="s">
        <v>114</v>
      </c>
      <c r="B96" s="5" t="s">
        <v>36</v>
      </c>
      <c r="C96" s="9" t="str">
        <f>SUBSTITUTE(B96,".",",")</f>
        <v>7,0</v>
      </c>
      <c r="D96" cm="1">
        <f t="array" ref="D96">_xlfn.IFS(A96&lt;="F*",0,A96&lt;="M*",1,A96&lt;="Z*",2)</f>
        <v>2</v>
      </c>
      <c r="E96" s="3">
        <f t="shared" si="1"/>
        <v>14</v>
      </c>
      <c r="F96" s="3"/>
    </row>
    <row r="97" spans="1:6" ht="13.2" x14ac:dyDescent="0.25">
      <c r="A97" s="2" t="s">
        <v>115</v>
      </c>
      <c r="B97" s="5" t="s">
        <v>38</v>
      </c>
      <c r="C97" s="9" t="str">
        <f>SUBSTITUTE(B97,".",",")</f>
        <v>8,0</v>
      </c>
      <c r="D97" cm="1">
        <f t="array" ref="D97">_xlfn.IFS(A97&lt;="F*",0,A97&lt;="M*",1,A97&lt;="Z*",2)</f>
        <v>2</v>
      </c>
      <c r="E97" s="3">
        <f t="shared" si="1"/>
        <v>16</v>
      </c>
      <c r="F97" s="3"/>
    </row>
    <row r="98" spans="1:6" ht="13.2" x14ac:dyDescent="0.25">
      <c r="A98" s="2" t="s">
        <v>116</v>
      </c>
      <c r="B98" s="5" t="s">
        <v>40</v>
      </c>
      <c r="C98" s="9" t="str">
        <f>SUBSTITUTE(B98,".",",")</f>
        <v>9,0</v>
      </c>
      <c r="D98" cm="1">
        <f t="array" ref="D98">_xlfn.IFS(A98&lt;="F*",0,A98&lt;="M*",1,A98&lt;="Z*",2)</f>
        <v>2</v>
      </c>
      <c r="E98" s="3">
        <f t="shared" si="1"/>
        <v>18</v>
      </c>
      <c r="F98" s="3"/>
    </row>
    <row r="99" spans="1:6" ht="13.2" x14ac:dyDescent="0.25">
      <c r="A99" s="2" t="s">
        <v>117</v>
      </c>
      <c r="B99" s="5" t="s">
        <v>20</v>
      </c>
      <c r="C99" s="9" t="str">
        <f>SUBSTITUTE(B99,".",",")</f>
        <v>10,0</v>
      </c>
      <c r="D99" cm="1">
        <f t="array" ref="D99">_xlfn.IFS(A99&lt;="F*",0,A99&lt;="M*",1,A99&lt;="Z*",2)</f>
        <v>0</v>
      </c>
      <c r="E99" s="3">
        <f t="shared" si="1"/>
        <v>40</v>
      </c>
      <c r="F99" s="3"/>
    </row>
    <row r="100" spans="1:6" ht="13.2" x14ac:dyDescent="0.25">
      <c r="A100" s="2" t="s">
        <v>118</v>
      </c>
      <c r="B100" s="5" t="s">
        <v>22</v>
      </c>
      <c r="C100" s="9" t="str">
        <f>SUBSTITUTE(B100,".",",")</f>
        <v>0,5</v>
      </c>
      <c r="D100" cm="1">
        <f t="array" ref="D100">_xlfn.IFS(A100&lt;="F*",0,A100&lt;="M*",1,A100&lt;="Z*",2)</f>
        <v>0</v>
      </c>
      <c r="E100" s="3">
        <f t="shared" si="1"/>
        <v>2</v>
      </c>
      <c r="F100" s="3"/>
    </row>
    <row r="101" spans="1:6" ht="13.2" x14ac:dyDescent="0.25">
      <c r="A101" s="2" t="s">
        <v>119</v>
      </c>
      <c r="B101" s="5" t="s">
        <v>24</v>
      </c>
      <c r="C101" s="9" t="str">
        <f>SUBSTITUTE(B101,".",",")</f>
        <v>1,0</v>
      </c>
      <c r="D101" cm="1">
        <f t="array" ref="D101">_xlfn.IFS(A101&lt;="F*",0,A101&lt;="M*",1,A101&lt;="Z*",2)</f>
        <v>0</v>
      </c>
      <c r="E101" s="3">
        <f t="shared" si="1"/>
        <v>4</v>
      </c>
      <c r="F101" s="3"/>
    </row>
  </sheetData>
  <autoFilter ref="A1:E101" xr:uid="{00000000-0001-0000-0000-000000000000}"/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topLeftCell="A27" workbookViewId="0">
      <selection activeCell="G45" sqref="G45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  <col min="6" max="6" width="15.77734375" bestFit="1" customWidth="1"/>
    <col min="8" max="8" width="63.44140625" bestFit="1" customWidth="1"/>
  </cols>
  <sheetData>
    <row r="1" spans="1:26" ht="13.8" x14ac:dyDescent="0.25">
      <c r="A1" s="1" t="s">
        <v>120</v>
      </c>
      <c r="B1" s="1" t="s">
        <v>121</v>
      </c>
      <c r="C1" s="1" t="s">
        <v>3</v>
      </c>
      <c r="D1" s="7" t="s">
        <v>134</v>
      </c>
      <c r="E1" s="7" t="s">
        <v>135</v>
      </c>
      <c r="F1" s="7" t="s">
        <v>136</v>
      </c>
      <c r="G1" s="7" t="s">
        <v>138</v>
      </c>
      <c r="H1" s="1"/>
      <c r="I1" s="7" t="s">
        <v>137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10" t="s">
        <v>122</v>
      </c>
      <c r="B2" s="2">
        <v>55</v>
      </c>
      <c r="D2" s="2" t="s">
        <v>122</v>
      </c>
      <c r="E2">
        <f>COUNTIF($A$2:$A$47,D2)</f>
        <v>11</v>
      </c>
      <c r="F2">
        <f>SUMIFS($B$2:$B$47,$A$2:$A$47,D2)</f>
        <v>565</v>
      </c>
      <c r="G2">
        <f>SUMIFS($C$2:$C$47,$B$2:$B$47,"&gt;"&amp;$I$2,$A$2:$A$47,"Mela")</f>
        <v>65</v>
      </c>
      <c r="H2" s="12" t="s">
        <v>139</v>
      </c>
      <c r="I2">
        <v>80</v>
      </c>
    </row>
    <row r="3" spans="1:26" x14ac:dyDescent="0.25">
      <c r="A3" s="2" t="s">
        <v>123</v>
      </c>
      <c r="B3" s="2">
        <v>70</v>
      </c>
      <c r="C3" s="2">
        <v>80</v>
      </c>
      <c r="D3" s="2" t="s">
        <v>123</v>
      </c>
      <c r="E3">
        <f t="shared" ref="E3:E47" si="0">COUNTIF($A$2:$A$47,D3)</f>
        <v>14</v>
      </c>
      <c r="F3">
        <f t="shared" ref="F3:F47" si="1">SUMIFS($B$2:$B$47,$A$2:$A$47,D3)</f>
        <v>755</v>
      </c>
    </row>
    <row r="4" spans="1:26" x14ac:dyDescent="0.25">
      <c r="A4" s="2" t="s">
        <v>124</v>
      </c>
      <c r="B4" s="2">
        <v>40</v>
      </c>
      <c r="C4" s="2">
        <v>60</v>
      </c>
      <c r="D4" s="2" t="s">
        <v>124</v>
      </c>
      <c r="E4">
        <f t="shared" si="0"/>
        <v>11</v>
      </c>
      <c r="F4">
        <f t="shared" si="1"/>
        <v>555</v>
      </c>
    </row>
    <row r="5" spans="1:26" x14ac:dyDescent="0.25">
      <c r="A5" s="2" t="s">
        <v>122</v>
      </c>
      <c r="B5" s="2">
        <v>20</v>
      </c>
      <c r="C5" s="2">
        <v>100</v>
      </c>
      <c r="D5" s="2" t="s">
        <v>125</v>
      </c>
      <c r="E5">
        <f t="shared" si="0"/>
        <v>7</v>
      </c>
      <c r="F5">
        <f t="shared" si="1"/>
        <v>380</v>
      </c>
    </row>
    <row r="6" spans="1:26" x14ac:dyDescent="0.25">
      <c r="A6" s="2" t="s">
        <v>125</v>
      </c>
      <c r="B6" s="2">
        <v>90</v>
      </c>
      <c r="C6" s="2">
        <v>30</v>
      </c>
      <c r="D6" s="2" t="s">
        <v>126</v>
      </c>
      <c r="E6">
        <f t="shared" si="0"/>
        <v>3</v>
      </c>
      <c r="F6">
        <f t="shared" si="1"/>
        <v>160</v>
      </c>
    </row>
    <row r="7" spans="1:26" x14ac:dyDescent="0.25">
      <c r="A7" s="2" t="s">
        <v>123</v>
      </c>
      <c r="B7" s="2">
        <v>50</v>
      </c>
      <c r="C7" s="2">
        <v>40</v>
      </c>
    </row>
    <row r="8" spans="1:26" x14ac:dyDescent="0.25">
      <c r="A8" s="2" t="s">
        <v>124</v>
      </c>
      <c r="B8" s="2">
        <v>60</v>
      </c>
      <c r="C8" s="2">
        <v>55</v>
      </c>
    </row>
    <row r="9" spans="1:26" x14ac:dyDescent="0.25">
      <c r="A9" s="2" t="s">
        <v>122</v>
      </c>
      <c r="B9" s="2">
        <v>45</v>
      </c>
    </row>
    <row r="10" spans="1:26" x14ac:dyDescent="0.25">
      <c r="A10" s="2" t="s">
        <v>123</v>
      </c>
      <c r="B10" s="2">
        <v>25</v>
      </c>
      <c r="C10" s="2">
        <v>85</v>
      </c>
    </row>
    <row r="11" spans="1:26" x14ac:dyDescent="0.25">
      <c r="A11" s="2" t="s">
        <v>125</v>
      </c>
      <c r="B11" s="2">
        <v>35</v>
      </c>
      <c r="C11" s="2">
        <v>50</v>
      </c>
    </row>
    <row r="12" spans="1:26" x14ac:dyDescent="0.25">
      <c r="A12" s="2" t="s">
        <v>126</v>
      </c>
      <c r="B12" s="2">
        <v>60</v>
      </c>
      <c r="C12" s="2">
        <v>95</v>
      </c>
    </row>
    <row r="13" spans="1:26" x14ac:dyDescent="0.25">
      <c r="A13" s="2" t="s">
        <v>124</v>
      </c>
      <c r="B13" s="2">
        <v>80</v>
      </c>
    </row>
    <row r="14" spans="1:26" x14ac:dyDescent="0.25">
      <c r="A14" s="2" t="s">
        <v>123</v>
      </c>
      <c r="B14" s="2">
        <v>40</v>
      </c>
      <c r="C14" s="2">
        <v>45</v>
      </c>
    </row>
    <row r="15" spans="1:26" ht="13.2" x14ac:dyDescent="0.25">
      <c r="A15" s="2" t="s">
        <v>122</v>
      </c>
      <c r="B15" s="11">
        <v>105</v>
      </c>
      <c r="C15" s="2">
        <v>65</v>
      </c>
    </row>
    <row r="16" spans="1:26" x14ac:dyDescent="0.25">
      <c r="A16" s="2" t="s">
        <v>124</v>
      </c>
      <c r="B16" s="2">
        <v>55</v>
      </c>
      <c r="C16" s="2">
        <v>30</v>
      </c>
    </row>
    <row r="17" spans="1:3" x14ac:dyDescent="0.25">
      <c r="A17" s="2" t="s">
        <v>125</v>
      </c>
      <c r="B17" s="2">
        <v>70</v>
      </c>
    </row>
    <row r="18" spans="1:3" x14ac:dyDescent="0.25">
      <c r="A18" s="2" t="s">
        <v>123</v>
      </c>
      <c r="B18" s="2">
        <v>45</v>
      </c>
      <c r="C18" s="2">
        <v>80</v>
      </c>
    </row>
    <row r="19" spans="1:3" x14ac:dyDescent="0.25">
      <c r="A19" s="2" t="s">
        <v>122</v>
      </c>
      <c r="B19" s="2">
        <v>25</v>
      </c>
      <c r="C19" s="2">
        <v>60</v>
      </c>
    </row>
    <row r="20" spans="1:3" x14ac:dyDescent="0.25">
      <c r="A20" s="2" t="s">
        <v>123</v>
      </c>
      <c r="B20" s="2">
        <v>35</v>
      </c>
    </row>
    <row r="21" spans="1:3" x14ac:dyDescent="0.25">
      <c r="A21" s="2" t="s">
        <v>124</v>
      </c>
      <c r="B21" s="2">
        <v>60</v>
      </c>
      <c r="C21" s="2">
        <v>30</v>
      </c>
    </row>
    <row r="22" spans="1:3" x14ac:dyDescent="0.25">
      <c r="A22" s="2" t="s">
        <v>122</v>
      </c>
      <c r="B22" s="2">
        <v>70</v>
      </c>
      <c r="C22" s="2">
        <v>40</v>
      </c>
    </row>
    <row r="23" spans="1:3" x14ac:dyDescent="0.25">
      <c r="A23" s="2" t="s">
        <v>123</v>
      </c>
      <c r="B23" s="2">
        <v>45</v>
      </c>
      <c r="C23" s="2">
        <v>55</v>
      </c>
    </row>
    <row r="24" spans="1:3" x14ac:dyDescent="0.25">
      <c r="A24" s="2" t="s">
        <v>125</v>
      </c>
      <c r="B24" s="2">
        <v>25</v>
      </c>
      <c r="C24" s="2">
        <v>70</v>
      </c>
    </row>
    <row r="25" spans="1:3" x14ac:dyDescent="0.25">
      <c r="A25" s="2" t="s">
        <v>126</v>
      </c>
      <c r="B25" s="2">
        <v>35</v>
      </c>
    </row>
    <row r="26" spans="1:3" x14ac:dyDescent="0.25">
      <c r="A26" s="2" t="s">
        <v>124</v>
      </c>
      <c r="B26" s="2">
        <v>60</v>
      </c>
      <c r="C26" s="2">
        <v>50</v>
      </c>
    </row>
    <row r="27" spans="1:3" x14ac:dyDescent="0.25">
      <c r="A27" s="2" t="s">
        <v>123</v>
      </c>
      <c r="B27" s="2">
        <v>80</v>
      </c>
      <c r="C27" s="2">
        <v>95</v>
      </c>
    </row>
    <row r="28" spans="1:3" x14ac:dyDescent="0.25">
      <c r="A28" s="2" t="s">
        <v>122</v>
      </c>
      <c r="B28" s="2">
        <v>40</v>
      </c>
      <c r="C28" s="2">
        <v>75</v>
      </c>
    </row>
    <row r="29" spans="1:3" x14ac:dyDescent="0.25">
      <c r="A29" s="2" t="s">
        <v>124</v>
      </c>
      <c r="B29" s="2">
        <v>65</v>
      </c>
      <c r="C29" s="2">
        <v>45</v>
      </c>
    </row>
    <row r="30" spans="1:3" x14ac:dyDescent="0.25">
      <c r="A30" s="2" t="s">
        <v>123</v>
      </c>
      <c r="B30" s="2">
        <v>55</v>
      </c>
      <c r="C30" s="2">
        <v>65</v>
      </c>
    </row>
    <row r="31" spans="1:3" x14ac:dyDescent="0.25">
      <c r="A31" s="2" t="s">
        <v>125</v>
      </c>
      <c r="B31" s="2">
        <v>70</v>
      </c>
      <c r="C31" s="2">
        <v>30</v>
      </c>
    </row>
    <row r="32" spans="1:3" x14ac:dyDescent="0.25">
      <c r="A32" s="2" t="s">
        <v>122</v>
      </c>
      <c r="B32" s="2">
        <v>45</v>
      </c>
    </row>
    <row r="33" spans="1:3" x14ac:dyDescent="0.25">
      <c r="A33" s="2" t="s">
        <v>123</v>
      </c>
      <c r="B33" s="2">
        <v>25</v>
      </c>
      <c r="C33" s="2">
        <v>80</v>
      </c>
    </row>
    <row r="34" spans="1:3" x14ac:dyDescent="0.25">
      <c r="A34" s="2" t="s">
        <v>124</v>
      </c>
      <c r="B34" s="2">
        <v>35</v>
      </c>
      <c r="C34" s="2">
        <v>60</v>
      </c>
    </row>
    <row r="35" spans="1:3" x14ac:dyDescent="0.25">
      <c r="A35" s="2" t="s">
        <v>122</v>
      </c>
      <c r="B35" s="2">
        <v>60</v>
      </c>
      <c r="C35" s="2">
        <v>100</v>
      </c>
    </row>
    <row r="36" spans="1:3" x14ac:dyDescent="0.25">
      <c r="A36" s="2" t="s">
        <v>123</v>
      </c>
      <c r="B36" s="2">
        <v>80</v>
      </c>
      <c r="C36" s="2">
        <v>30</v>
      </c>
    </row>
    <row r="37" spans="1:3" x14ac:dyDescent="0.25">
      <c r="A37" s="2" t="s">
        <v>125</v>
      </c>
      <c r="B37" s="2">
        <v>40</v>
      </c>
    </row>
    <row r="38" spans="1:3" x14ac:dyDescent="0.25">
      <c r="A38" s="2" t="s">
        <v>126</v>
      </c>
      <c r="B38" s="2">
        <v>65</v>
      </c>
      <c r="C38" s="2">
        <v>55</v>
      </c>
    </row>
    <row r="39" spans="1:3" x14ac:dyDescent="0.25">
      <c r="A39" s="2" t="s">
        <v>124</v>
      </c>
      <c r="B39" s="2">
        <v>55</v>
      </c>
      <c r="C39" s="2">
        <v>70</v>
      </c>
    </row>
    <row r="40" spans="1:3" x14ac:dyDescent="0.25">
      <c r="A40" s="2" t="s">
        <v>123</v>
      </c>
      <c r="B40" s="2">
        <v>70</v>
      </c>
      <c r="C40" s="2">
        <v>85</v>
      </c>
    </row>
    <row r="41" spans="1:3" x14ac:dyDescent="0.25">
      <c r="A41" s="2" t="s">
        <v>122</v>
      </c>
      <c r="B41" s="2">
        <v>40</v>
      </c>
      <c r="C41" s="2">
        <v>50</v>
      </c>
    </row>
    <row r="42" spans="1:3" x14ac:dyDescent="0.25">
      <c r="A42" s="2" t="s">
        <v>124</v>
      </c>
      <c r="B42" s="2">
        <v>20</v>
      </c>
      <c r="C42" s="2">
        <v>95</v>
      </c>
    </row>
    <row r="43" spans="1:3" x14ac:dyDescent="0.25">
      <c r="A43" s="2" t="s">
        <v>123</v>
      </c>
      <c r="B43" s="2">
        <v>90</v>
      </c>
      <c r="C43" s="2">
        <v>75</v>
      </c>
    </row>
    <row r="44" spans="1:3" x14ac:dyDescent="0.25">
      <c r="A44" s="2" t="s">
        <v>125</v>
      </c>
      <c r="B44" s="2">
        <v>50</v>
      </c>
      <c r="C44" s="2">
        <v>45</v>
      </c>
    </row>
    <row r="45" spans="1:3" x14ac:dyDescent="0.25">
      <c r="A45" s="2" t="s">
        <v>122</v>
      </c>
      <c r="B45" s="2">
        <v>60</v>
      </c>
      <c r="C45" s="2">
        <v>65</v>
      </c>
    </row>
    <row r="46" spans="1:3" x14ac:dyDescent="0.25">
      <c r="A46" s="2" t="s">
        <v>123</v>
      </c>
      <c r="B46" s="2">
        <v>45</v>
      </c>
    </row>
    <row r="47" spans="1:3" x14ac:dyDescent="0.25">
      <c r="A47" s="2" t="s">
        <v>124</v>
      </c>
      <c r="B47" s="2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Somaschini</dc:creator>
  <cp:lastModifiedBy>Erika Somaschini</cp:lastModifiedBy>
  <dcterms:created xsi:type="dcterms:W3CDTF">2026-02-14T14:25:46Z</dcterms:created>
  <dcterms:modified xsi:type="dcterms:W3CDTF">2026-02-14T14:25:46Z</dcterms:modified>
</cp:coreProperties>
</file>